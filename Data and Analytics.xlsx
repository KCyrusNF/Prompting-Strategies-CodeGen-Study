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obak\Desktop\Currently Writing\Prompt Engineering Research\Prompt Records\"/>
    </mc:Choice>
  </mc:AlternateContent>
  <xr:revisionPtr revIDLastSave="0" documentId="13_ncr:1_{7C94C4F8-8F80-4F1C-B7D6-04CE6C2196F4}" xr6:coauthVersionLast="47" xr6:coauthVersionMax="47" xr10:uidLastSave="{00000000-0000-0000-0000-000000000000}"/>
  <bookViews>
    <workbookView xWindow="-120" yWindow="-120" windowWidth="29040" windowHeight="15720" tabRatio="557" activeTab="4" xr2:uid="{00000000-000D-0000-FFFF-FFFF00000000}"/>
  </bookViews>
  <sheets>
    <sheet name="Raw Data (General)" sheetId="1" r:id="rId1"/>
    <sheet name="Raw Data (Acc.)" sheetId="9" r:id="rId2"/>
    <sheet name="Means" sheetId="7" r:id="rId3"/>
    <sheet name="Figure 1 Table" sheetId="2" r:id="rId4"/>
    <sheet name="Figure 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I20" i="7" l="1"/>
  <c r="I21" i="7"/>
  <c r="I22" i="7"/>
  <c r="I23" i="7"/>
  <c r="H20" i="7"/>
  <c r="H21" i="7"/>
  <c r="H22" i="7"/>
  <c r="H23" i="7"/>
  <c r="G20" i="7"/>
  <c r="G21" i="7"/>
  <c r="G22" i="7"/>
  <c r="G23" i="7"/>
  <c r="F20" i="7"/>
  <c r="F21" i="7"/>
  <c r="F22" i="7"/>
  <c r="F23" i="7"/>
  <c r="E20" i="7"/>
  <c r="E21" i="7"/>
  <c r="E22" i="7"/>
  <c r="E23" i="7"/>
  <c r="D20" i="7"/>
  <c r="D21" i="7"/>
  <c r="D22" i="7"/>
  <c r="D23" i="7"/>
  <c r="H12" i="7"/>
  <c r="H13" i="7"/>
  <c r="H14" i="7"/>
  <c r="H15" i="7"/>
  <c r="G12" i="7"/>
  <c r="G13" i="7"/>
  <c r="G14" i="7"/>
  <c r="G15" i="7"/>
  <c r="F12" i="7"/>
  <c r="F13" i="7"/>
  <c r="F14" i="7"/>
  <c r="F15" i="7"/>
  <c r="E12" i="7"/>
  <c r="E13" i="7"/>
  <c r="E14" i="7"/>
  <c r="E15" i="7"/>
  <c r="D12" i="7"/>
  <c r="D13" i="7"/>
  <c r="D14" i="7"/>
  <c r="D15" i="7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53" i="1"/>
  <c r="E54" i="1"/>
  <c r="E55" i="1"/>
  <c r="E56" i="1"/>
  <c r="E57" i="1"/>
  <c r="E58" i="1"/>
  <c r="E60" i="1"/>
  <c r="E61" i="1"/>
  <c r="E62" i="1"/>
  <c r="E63" i="1"/>
  <c r="E64" i="1"/>
  <c r="E65" i="1"/>
  <c r="E66" i="1"/>
  <c r="E67" i="1"/>
  <c r="E68" i="1"/>
  <c r="E70" i="1"/>
  <c r="E72" i="1"/>
  <c r="E73" i="1"/>
  <c r="E74" i="1"/>
  <c r="E75" i="1"/>
  <c r="E76" i="1"/>
  <c r="E77" i="1"/>
  <c r="E78" i="1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E49" i="1" s="1"/>
  <c r="J51" i="9"/>
  <c r="E50" i="1" s="1"/>
  <c r="J52" i="9"/>
  <c r="E51" i="1" s="1"/>
  <c r="J53" i="9"/>
  <c r="E52" i="1" s="1"/>
  <c r="J54" i="9"/>
  <c r="J55" i="9"/>
  <c r="J56" i="9"/>
  <c r="J57" i="9"/>
  <c r="J58" i="9"/>
  <c r="J59" i="9"/>
  <c r="J60" i="9"/>
  <c r="E59" i="1" s="1"/>
  <c r="J61" i="9"/>
  <c r="J62" i="9"/>
  <c r="J63" i="9"/>
  <c r="J64" i="9"/>
  <c r="J65" i="9"/>
  <c r="J66" i="9"/>
  <c r="J67" i="9"/>
  <c r="J68" i="9"/>
  <c r="J69" i="9"/>
  <c r="J70" i="9"/>
  <c r="J71" i="9"/>
  <c r="J72" i="9"/>
  <c r="E71" i="1" s="1"/>
  <c r="J73" i="9"/>
  <c r="J74" i="9"/>
  <c r="J75" i="9"/>
  <c r="J76" i="9"/>
  <c r="J77" i="9"/>
  <c r="J78" i="9"/>
  <c r="J79" i="9"/>
  <c r="J80" i="9"/>
  <c r="J81" i="9"/>
  <c r="E80" i="1" s="1"/>
  <c r="J82" i="9"/>
  <c r="E81" i="1" s="1"/>
  <c r="J83" i="9"/>
  <c r="E8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F7" i="7"/>
  <c r="E7" i="7"/>
  <c r="F6" i="7"/>
  <c r="E6" i="7"/>
  <c r="F5" i="7"/>
  <c r="E5" i="7"/>
  <c r="F4" i="7"/>
  <c r="E4" i="7"/>
  <c r="I13" i="7" l="1"/>
  <c r="I15" i="7"/>
  <c r="I14" i="7"/>
  <c r="D4" i="7"/>
  <c r="E79" i="1"/>
  <c r="D7" i="7" s="1"/>
  <c r="E69" i="1"/>
  <c r="D6" i="7" s="1"/>
  <c r="D5" i="7"/>
  <c r="I12" i="7"/>
  <c r="H7" i="7"/>
  <c r="G7" i="7"/>
  <c r="H6" i="7"/>
  <c r="G6" i="7"/>
  <c r="H5" i="7"/>
  <c r="G5" i="7"/>
  <c r="H4" i="7"/>
  <c r="G4" i="7"/>
  <c r="E4" i="2"/>
  <c r="E5" i="2"/>
  <c r="E6" i="2"/>
  <c r="E7" i="2"/>
</calcChain>
</file>

<file path=xl/sharedStrings.xml><?xml version="1.0" encoding="utf-8"?>
<sst xmlns="http://schemas.openxmlformats.org/spreadsheetml/2006/main" count="811" uniqueCount="108">
  <si>
    <t>Task ID</t>
  </si>
  <si>
    <t>Prompt Verbosity (#tokens)</t>
  </si>
  <si>
    <t>Response Verbosity (#tokens)</t>
  </si>
  <si>
    <t>Total Verbosity (#tokens)</t>
  </si>
  <si>
    <t>Cost (USD)</t>
  </si>
  <si>
    <t>task_001</t>
  </si>
  <si>
    <t>task_002</t>
  </si>
  <si>
    <t>task_003</t>
  </si>
  <si>
    <t>task_004</t>
  </si>
  <si>
    <t>task_005</t>
  </si>
  <si>
    <t>task_006</t>
  </si>
  <si>
    <t>task_007</t>
  </si>
  <si>
    <t>task_008</t>
  </si>
  <si>
    <t>task_009</t>
  </si>
  <si>
    <t>Example Context</t>
  </si>
  <si>
    <t>Reasoning Style</t>
  </si>
  <si>
    <t>Zero-shot</t>
  </si>
  <si>
    <t>Non-CoT</t>
  </si>
  <si>
    <t>Few-shot</t>
  </si>
  <si>
    <t>CoT</t>
  </si>
  <si>
    <t>Figure 1 Helper Table</t>
  </si>
  <si>
    <t>task_010</t>
  </si>
  <si>
    <t>task_011</t>
  </si>
  <si>
    <t>task_012</t>
  </si>
  <si>
    <t>task_013</t>
  </si>
  <si>
    <t>task_014</t>
  </si>
  <si>
    <t>task_015</t>
  </si>
  <si>
    <t>task_016</t>
  </si>
  <si>
    <t>task_017</t>
  </si>
  <si>
    <t>task_018</t>
  </si>
  <si>
    <t>task_019</t>
  </si>
  <si>
    <t>task_020</t>
  </si>
  <si>
    <t>task_021</t>
  </si>
  <si>
    <t>task_022</t>
  </si>
  <si>
    <t>task_023</t>
  </si>
  <si>
    <t>task_024</t>
  </si>
  <si>
    <t>task_025</t>
  </si>
  <si>
    <t>task_026</t>
  </si>
  <si>
    <t>task_027</t>
  </si>
  <si>
    <t>task_028</t>
  </si>
  <si>
    <t>task_029</t>
  </si>
  <si>
    <t>task_030</t>
  </si>
  <si>
    <t>task_031</t>
  </si>
  <si>
    <t>task_032</t>
  </si>
  <si>
    <t>task_033</t>
  </si>
  <si>
    <t>task_034</t>
  </si>
  <si>
    <t>task_035</t>
  </si>
  <si>
    <t>task_036</t>
  </si>
  <si>
    <t>task_037</t>
  </si>
  <si>
    <t>task_038</t>
  </si>
  <si>
    <t>task_039</t>
  </si>
  <si>
    <t>task_040</t>
  </si>
  <si>
    <t>task_041</t>
  </si>
  <si>
    <t>task_042</t>
  </si>
  <si>
    <t>task_043</t>
  </si>
  <si>
    <t>task_044</t>
  </si>
  <si>
    <t>task_045</t>
  </si>
  <si>
    <t>task_046</t>
  </si>
  <si>
    <t>task_047</t>
  </si>
  <si>
    <t>task_048</t>
  </si>
  <si>
    <t>task_049</t>
  </si>
  <si>
    <t>task_050</t>
  </si>
  <si>
    <t>task_051</t>
  </si>
  <si>
    <t>task_052</t>
  </si>
  <si>
    <t>task_053</t>
  </si>
  <si>
    <t>task_054</t>
  </si>
  <si>
    <t>task_055</t>
  </si>
  <si>
    <t>task_056</t>
  </si>
  <si>
    <t>task_057</t>
  </si>
  <si>
    <t>task_058</t>
  </si>
  <si>
    <t>task_059</t>
  </si>
  <si>
    <t>task_060</t>
  </si>
  <si>
    <t>task_061</t>
  </si>
  <si>
    <t>task_062</t>
  </si>
  <si>
    <t>task_063</t>
  </si>
  <si>
    <t>task_064</t>
  </si>
  <si>
    <t>task_065</t>
  </si>
  <si>
    <t>task_066</t>
  </si>
  <si>
    <t>task_067</t>
  </si>
  <si>
    <t>task_068</t>
  </si>
  <si>
    <t>task_069</t>
  </si>
  <si>
    <t>task_070</t>
  </si>
  <si>
    <t>task_071</t>
  </si>
  <si>
    <t>task_072</t>
  </si>
  <si>
    <t>task_073</t>
  </si>
  <si>
    <t>task_074</t>
  </si>
  <si>
    <t>task_075</t>
  </si>
  <si>
    <t>task_076</t>
  </si>
  <si>
    <t>task_077</t>
  </si>
  <si>
    <t>task_078</t>
  </si>
  <si>
    <t>task_079</t>
  </si>
  <si>
    <t>task_080</t>
  </si>
  <si>
    <t>Zero-Shot</t>
  </si>
  <si>
    <t>Few-Shot</t>
  </si>
  <si>
    <t>General Data Means</t>
  </si>
  <si>
    <t>Factual Correctness</t>
  </si>
  <si>
    <t>Reasoning Quality</t>
  </si>
  <si>
    <t>Coherency and Clarity</t>
  </si>
  <si>
    <t>Completeness</t>
  </si>
  <si>
    <t>Understanding Depth</t>
  </si>
  <si>
    <t xml:space="preserve">Weighted Total </t>
  </si>
  <si>
    <t>Accuracy Evaluations 1 (By Koorosh Nobakhtfar)</t>
  </si>
  <si>
    <t>Accuracy Evaluations 2 (By Kenan Çakılcı)</t>
  </si>
  <si>
    <t>Accuracy Evaluations 1 Means (By Koorosh Nobakhtfar)</t>
  </si>
  <si>
    <t>Accuracy Evaluations 2 Means (By Kenan Çakılcı)</t>
  </si>
  <si>
    <t>Avg Accuracy (%)</t>
  </si>
  <si>
    <t>Response Verbosity</t>
  </si>
  <si>
    <t>Prompt Verbosity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</si>
</sst>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3" borderId="0" xfId="2" applyFont="1" applyAlignment="1">
      <alignment horizontal="center"/>
    </xf>
    <xf numFmtId="0" fontId="1" fillId="2" borderId="0" xfId="1" applyFont="1" applyAlignment="1">
      <alignment horizontal="center"/>
    </xf>
  </cellXfs>
  <cellStyles count="3">
    <cellStyle name="Accent2" xfId="1" builtinId="33"/>
    <cellStyle name="Accent5" xfId="2" builtinId="45"/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Figure 1: Mean Prompt vs Response Verbosity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1 Table'!$D$3</c:f>
              <c:strCache>
                <c:ptCount val="1"/>
                <c:pt idx="0">
                  <c:v>Prompt Verbosity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'Figure 1 Table'!$B$4:$C$7</c:f>
              <c:multiLvlStrCache>
                <c:ptCount val="4"/>
                <c:lvl>
                  <c:pt idx="0">
                    <c:v>Zero-shot</c:v>
                  </c:pt>
                  <c:pt idx="1">
                    <c:v>Few-shot</c:v>
                  </c:pt>
                  <c:pt idx="2">
                    <c:v>Zero-shot</c:v>
                  </c:pt>
                  <c:pt idx="3">
                    <c:v>Few-shot</c:v>
                  </c:pt>
                </c:lvl>
                <c:lvl>
                  <c:pt idx="0">
                    <c:v>Non-CoT</c:v>
                  </c:pt>
                  <c:pt idx="1">
                    <c:v>Non-CoT</c:v>
                  </c:pt>
                  <c:pt idx="2">
                    <c:v>CoT</c:v>
                  </c:pt>
                  <c:pt idx="3">
                    <c:v>CoT</c:v>
                  </c:pt>
                </c:lvl>
              </c:multiLvlStrCache>
            </c:multiLvlStrRef>
          </c:cat>
          <c:val>
            <c:numRef>
              <c:f>'Figure 1 Table'!$D$4:$D$7</c:f>
              <c:numCache>
                <c:formatCode>General</c:formatCode>
                <c:ptCount val="4"/>
                <c:pt idx="0">
                  <c:v>29.1</c:v>
                </c:pt>
                <c:pt idx="1">
                  <c:v>77.45</c:v>
                </c:pt>
                <c:pt idx="2">
                  <c:v>72.400000000000006</c:v>
                </c:pt>
                <c:pt idx="3">
                  <c:v>361.65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B-4995-ADAD-65B18B34A40E}"/>
            </c:ext>
          </c:extLst>
        </c:ser>
        <c:ser>
          <c:idx val="1"/>
          <c:order val="1"/>
          <c:tx>
            <c:strRef>
              <c:f>'Figure 1 Table'!$E$3</c:f>
              <c:strCache>
                <c:ptCount val="1"/>
                <c:pt idx="0">
                  <c:v>Response Verbosity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'Figure 1 Table'!$B$4:$C$7</c:f>
              <c:multiLvlStrCache>
                <c:ptCount val="4"/>
                <c:lvl>
                  <c:pt idx="0">
                    <c:v>Zero-shot</c:v>
                  </c:pt>
                  <c:pt idx="1">
                    <c:v>Few-shot</c:v>
                  </c:pt>
                  <c:pt idx="2">
                    <c:v>Zero-shot</c:v>
                  </c:pt>
                  <c:pt idx="3">
                    <c:v>Few-shot</c:v>
                  </c:pt>
                </c:lvl>
                <c:lvl>
                  <c:pt idx="0">
                    <c:v>Non-CoT</c:v>
                  </c:pt>
                  <c:pt idx="1">
                    <c:v>Non-CoT</c:v>
                  </c:pt>
                  <c:pt idx="2">
                    <c:v>CoT</c:v>
                  </c:pt>
                  <c:pt idx="3">
                    <c:v>CoT</c:v>
                  </c:pt>
                </c:lvl>
              </c:multiLvlStrCache>
            </c:multiLvlStrRef>
          </c:cat>
          <c:val>
            <c:numRef>
              <c:f>'Figure 1 Table'!$E$4:$E$7</c:f>
              <c:numCache>
                <c:formatCode>General</c:formatCode>
                <c:ptCount val="4"/>
                <c:pt idx="0">
                  <c:v>161</c:v>
                </c:pt>
                <c:pt idx="1">
                  <c:v>172.1</c:v>
                </c:pt>
                <c:pt idx="2">
                  <c:v>288.10000000000002</c:v>
                </c:pt>
                <c:pt idx="3">
                  <c:v>322.3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8B-4995-ADAD-65B18B34A4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05366336"/>
        <c:axId val="305375936"/>
      </c:barChart>
      <c:valAx>
        <c:axId val="30537593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Tokens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305366336"/>
        <c:crosses val="autoZero"/>
        <c:crossBetween val="between"/>
      </c:valAx>
      <c:catAx>
        <c:axId val="30536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Prompt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375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916447A-4A45-403B-92F8-FC1E2884A1AE}">
  <sheetPr/>
  <sheetViews>
    <sheetView tabSelected="1"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F6F97-4B0B-F56D-BB09-F5F1FA9B650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73E47D-7FCD-4CC0-AE67-41E0C6BBFBD4}" name="tasks_table" displayName="tasks_table" ref="B2:I82" totalsRowShown="0">
  <autoFilter ref="B2:I82" xr:uid="{2F73E47D-7FCD-4CC0-AE67-41E0C6BBFBD4}"/>
  <tableColumns count="8">
    <tableColumn id="1" xr3:uid="{02C2C649-8070-42F6-A3BF-DAABF2D7EA31}" name="Task ID"/>
    <tableColumn id="2" xr3:uid="{7F75B7B8-EE9B-4C48-9452-5FF999FEBF96}" name="Reasoning Style"/>
    <tableColumn id="3" xr3:uid="{823D7CDB-6ADE-4D9B-A3FA-AEA60C7DBA71}" name="Example Context"/>
    <tableColumn id="4" xr3:uid="{1894F9F7-83D1-426A-874D-E7C02368BD26}" name="Avg Accuracy (%)" dataDxfId="27">
      <calculatedColumnFormula>AVERAGE('Raw Data (Acc.)'!J4,'Raw Data (Acc.)'!J88)</calculatedColumnFormula>
    </tableColumn>
    <tableColumn id="7" xr3:uid="{CFCF283D-8071-4FF5-96EB-CE489C8FF548}" name="Prompt Verbosity (#tokens)"/>
    <tableColumn id="8" xr3:uid="{1737CA7D-9677-44F6-9F5E-DACD3FDEA16D}" name="Response Verbosity (#tokens)"/>
    <tableColumn id="9" xr3:uid="{9A3D1324-D44A-462C-BC7C-A68BC368649C}" name="Total Verbosity (#tokens)" dataDxfId="26">
      <calculatedColumnFormula>tasks_table[[#This Row],[Prompt Verbosity ('#tokens)]]+tasks_table[[#This Row],[Response Verbosity ('#tokens)]]</calculatedColumnFormula>
    </tableColumn>
    <tableColumn id="10" xr3:uid="{2A33373C-B897-43DD-BF57-EBE4243C1A4D}" name="Cost (USD)" dataDxfId="25">
      <calculatedColumnFormula>((tasks_table[[#This Row],[Prompt Verbosity ('#tokens)]]/1000000)*1.25) + ((tasks_table[[#This Row],[Response Verbosity ('#tokens)]]/1000000)*10)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E389EA-365D-4A56-B794-F7526D8D6093}" name="koorosh_acc_table" displayName="koorosh_acc_table" ref="B3:J83" totalsRowShown="0">
  <autoFilter ref="B3:J83" xr:uid="{14E389EA-365D-4A56-B794-F7526D8D6093}"/>
  <tableColumns count="9">
    <tableColumn id="1" xr3:uid="{9849525B-361F-4157-936F-B660980A7C55}" name="Task ID"/>
    <tableColumn id="2" xr3:uid="{FC825F03-7900-4EF8-A5F4-FB2D1998AE9C}" name="Reasoning Style"/>
    <tableColumn id="3" xr3:uid="{64A93865-841C-468F-A56B-0302F069334F}" name="Example Context"/>
    <tableColumn id="4" xr3:uid="{7247253A-C850-457D-8340-B6CF5C935775}" name="Factual Correctness"/>
    <tableColumn id="7" xr3:uid="{D273ABB8-BD42-4135-AB59-FB12A8347EB1}" name="Reasoning Quality"/>
    <tableColumn id="8" xr3:uid="{D8CADB62-E817-48AB-B78F-CE45BB3EBD52}" name="Coherency and Clarity"/>
    <tableColumn id="9" xr3:uid="{DE2258BA-BD0E-4533-A5CB-46B4AAD036EA}" name="Completeness" dataDxfId="24"/>
    <tableColumn id="10" xr3:uid="{E66D9590-F117-4696-8CB0-5A394822C58B}" name="Understanding Depth" dataDxfId="23"/>
    <tableColumn id="5" xr3:uid="{E0E7D3A8-91E6-4735-9644-7A21F15315F8}" name="Weighted Total " dataDxfId="22">
      <calculatedColumnFormula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706490-800E-48BA-B56A-81A4DB366579}" name="kenan_acc_table" displayName="kenan_acc_table" ref="B87:J167" totalsRowShown="0">
  <autoFilter ref="B87:J167" xr:uid="{E3706490-800E-48BA-B56A-81A4DB366579}"/>
  <tableColumns count="9">
    <tableColumn id="1" xr3:uid="{54FA2C7F-D800-4E81-AE1E-951BAE75A133}" name="Task ID"/>
    <tableColumn id="2" xr3:uid="{EF183DBB-0137-4873-81ED-167792A836AC}" name="Reasoning Style"/>
    <tableColumn id="3" xr3:uid="{D79051BE-4DA0-4CD3-9CBC-264867C83A70}" name="Example Context"/>
    <tableColumn id="4" xr3:uid="{F1378772-1EDB-4EBA-94D9-A65192A3FE09}" name="Factual Correctness"/>
    <tableColumn id="7" xr3:uid="{5FD83A69-CC42-4917-A7C3-13CECC6DE662}" name="Reasoning Quality"/>
    <tableColumn id="8" xr3:uid="{CDAF6051-F01C-425F-A5F2-919424E7A7EA}" name="Coherency and Clarity"/>
    <tableColumn id="9" xr3:uid="{C3464195-3BA4-4351-A2BC-5842D4710FE7}" name="Completeness" dataDxfId="21"/>
    <tableColumn id="10" xr3:uid="{B5CCA241-7360-4D0B-AF08-B3DDB6127A7C}" name="Understanding Depth" dataDxfId="20"/>
    <tableColumn id="5" xr3:uid="{D68243F0-1790-4E23-82A6-F132EFCCEF0C}" name="Weighted Total " dataDxfId="19">
      <calculatedColumnFormula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A411EC-9F70-46E3-B317-D56AC62EE090}" name="mean_table" displayName="mean_table" ref="B3:H7" totalsRowShown="0" headerRowCellStyle="Normal" dataCellStyle="Normal">
  <autoFilter ref="B3:H7" xr:uid="{50A411EC-9F70-46E3-B317-D56AC62EE090}"/>
  <tableColumns count="7">
    <tableColumn id="1" xr3:uid="{DF84AFF1-2C99-474C-ACBB-B4C809DA0705}" name="Reasoning Style" dataCellStyle="Normal"/>
    <tableColumn id="2" xr3:uid="{EAB0042A-AE03-4D80-8835-0FCFCBA70FF2}" name="Example Context" dataCellStyle="Normal"/>
    <tableColumn id="3" xr3:uid="{F772386E-89D3-4102-97F9-B28D9415E111}" name="Avg Accuracy (%)" dataDxfId="18" dataCellStyle="Normal">
      <calculatedColumnFormula>AVERAGEIFS(tasks_table[Avg Accuracy (%)], tasks_table[Reasoning Style], mean_table[[#This Row],[Reasoning Style]], tasks_table[Example Context], mean_table[[#This Row],[Example Context]])</calculatedColumnFormula>
    </tableColumn>
    <tableColumn id="6" xr3:uid="{CE67A91A-FCC8-4AB5-96E0-21D05BEC010A}" name="Prompt Verbosity (#tokens)" dataDxfId="17" dataCellStyle="Normal">
      <calculatedColumnFormula>AVERAGEIFS(tasks_table[Prompt Verbosity ('#tokens)], tasks_table[Reasoning Style], mean_table[[#This Row],[Reasoning Style]], tasks_table[Example Context], mean_table[[#This Row],[Example Context]])</calculatedColumnFormula>
    </tableColumn>
    <tableColumn id="7" xr3:uid="{1C51F2DB-7282-4B78-89D8-9312C9A1DD02}" name="Response Verbosity (#tokens)" dataDxfId="16" dataCellStyle="Normal">
      <calculatedColumnFormula>AVERAGEIFS(tasks_table[Response Verbosity ('#tokens)], tasks_table[Reasoning Style], mean_table[[#This Row],[Reasoning Style]], tasks_table[Example Context], mean_table[[#This Row],[Example Context]])</calculatedColumnFormula>
    </tableColumn>
    <tableColumn id="8" xr3:uid="{CB6051A7-CB7A-4CEA-B478-4B516B8BE801}" name="Total Verbosity (#tokens)" dataDxfId="15" dataCellStyle="Normal">
      <calculatedColumnFormula>AVERAGEIFS(tasks_table[Total Verbosity ('#tokens)], tasks_table[Reasoning Style], mean_table[[#This Row],[Reasoning Style]], tasks_table[Example Context], mean_table[[#This Row],[Example Context]])</calculatedColumnFormula>
    </tableColumn>
    <tableColumn id="9" xr3:uid="{BA5CF963-45FE-42F8-BC1C-5305109C42A4}" name="Cost (USD)" dataDxfId="14" dataCellStyle="Normal">
      <calculatedColumnFormula>AVERAGEIFS(tasks_table[Cost (USD)], tasks_table[Reasoning Style], mean_table[[#This Row],[Reasoning Style]], tasks_table[Example Context], mean_table[[#This Row],[Example Context]])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67E40B-C606-410D-99C7-5471D9248B84}" name="acc_mean_table" displayName="acc_mean_table" ref="B11:I15" totalsRowShown="0" headerRowCellStyle="Normal" dataCellStyle="Normal">
  <autoFilter ref="B11:I15" xr:uid="{B367E40B-C606-410D-99C7-5471D9248B84}"/>
  <tableColumns count="8">
    <tableColumn id="1" xr3:uid="{168FCE3C-3C28-4706-B9A3-B224E050EC94}" name="Reasoning Style" dataCellStyle="Normal"/>
    <tableColumn id="2" xr3:uid="{6AD993F2-92B5-464A-98D8-3556428E84C8}" name="Example Context" dataCellStyle="Normal"/>
    <tableColumn id="3" xr3:uid="{DB0F1632-763D-4909-AC27-D838FE656721}" name="Factual Correctness" dataDxfId="13" dataCellStyle="Normal">
      <calculatedColumnFormula>AVERAGEIFS(koorosh_acc_table[Factual Correctness], koorosh_acc_table[Reasoning Style], acc_mean_table[[#This Row],[Reasoning Style]], koorosh_acc_table[Example Context], acc_mean_table[[#This Row],[Example Context]])</calculatedColumnFormula>
    </tableColumn>
    <tableColumn id="6" xr3:uid="{404126D6-C028-475F-9FAC-BE70FD73CDE2}" name="Reasoning Quality" dataDxfId="12" dataCellStyle="Normal">
      <calculatedColumnFormula>AVERAGEIFS(koorosh_acc_table[Reasoning Quality], koorosh_acc_table[Reasoning Style], acc_mean_table[[#This Row],[Reasoning Style]], koorosh_acc_table[Example Context], acc_mean_table[[#This Row],[Example Context]])</calculatedColumnFormula>
    </tableColumn>
    <tableColumn id="7" xr3:uid="{238A0CF4-6986-4D2A-9DA9-F2A4492E8908}" name="Coherency and Clarity" dataDxfId="11" dataCellStyle="Normal">
      <calculatedColumnFormula>AVERAGEIFS(koorosh_acc_table[Coherency and Clarity], koorosh_acc_table[Reasoning Style], acc_mean_table[[#This Row],[Reasoning Style]], koorosh_acc_table[Example Context], acc_mean_table[[#This Row],[Example Context]])</calculatedColumnFormula>
    </tableColumn>
    <tableColumn id="8" xr3:uid="{90298B60-7865-4779-8FB2-B80A361465F9}" name="Completeness" dataDxfId="10" dataCellStyle="Normal">
      <calculatedColumnFormula>AVERAGEIFS(koorosh_acc_table[Completeness], koorosh_acc_table[Reasoning Style], acc_mean_table[[#This Row],[Reasoning Style]], koorosh_acc_table[Example Context], acc_mean_table[[#This Row],[Example Context]])</calculatedColumnFormula>
    </tableColumn>
    <tableColumn id="9" xr3:uid="{7BDCC6EE-BD41-430C-9B22-8B818B3F2F7F}" name="Understanding Depth" dataDxfId="9" dataCellStyle="Normal">
      <calculatedColumnFormula>AVERAGEIFS(koorosh_acc_table[Understanding Depth], koorosh_acc_table[Reasoning Style], acc_mean_table[[#This Row],[Reasoning Style]], koorosh_acc_table[Example Context], acc_mean_table[[#This Row],[Example Context]])</calculatedColumnFormula>
    </tableColumn>
    <tableColumn id="4" xr3:uid="{ADC1599C-CAED-4F10-86A7-6A4D88BD9C2E}" name="Weighted Total " dataDxfId="8" dataCellStyle="Normal">
      <calculatedColumnFormula>AVERAGEIFS(koorosh_acc_table[[Weighted Total ]], koorosh_acc_table[Reasoning Style], acc_mean_table[[#This Row],[Reasoning Style]], koorosh_acc_table[Example Context], acc_mean_table[[#This Row],[Example Context]])</calculatedColumnFormula>
    </tableColumn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42450C-5CA7-4D2C-B6F4-21057ED1FD4E}" name="acc_mean_table7" displayName="acc_mean_table7" ref="B19:I23" totalsRowShown="0" headerRowCellStyle="Normal" dataCellStyle="Normal">
  <autoFilter ref="B19:I23" xr:uid="{0842450C-5CA7-4D2C-B6F4-21057ED1FD4E}"/>
  <tableColumns count="8">
    <tableColumn id="1" xr3:uid="{F09FE301-E68D-4237-BDEA-17B0291D8AE0}" name="Reasoning Style" dataCellStyle="Normal"/>
    <tableColumn id="2" xr3:uid="{368E0FEF-1A15-47E2-8608-D5AA745A631C}" name="Example Context" dataCellStyle="Normal"/>
    <tableColumn id="3" xr3:uid="{AA113B31-38BF-4154-A833-9357ACA58FE6}" name="Factual Correctness" dataDxfId="7" dataCellStyle="Normal">
      <calculatedColumnFormula>AVERAGEIFS(kenan_acc_table[Factual Correctness], kenan_acc_table[Reasoning Style], acc_mean_table7[[#This Row],[Reasoning Style]], kenan_acc_table[Example Context], acc_mean_table7[[#This Row],[Example Context]])</calculatedColumnFormula>
    </tableColumn>
    <tableColumn id="6" xr3:uid="{1C7BFAD3-6893-4EC1-9A77-E2E9EF0D7A1C}" name="Reasoning Quality" dataDxfId="6" dataCellStyle="Normal">
      <calculatedColumnFormula>AVERAGEIFS(kenan_acc_table[Reasoning Quality], kenan_acc_table[Reasoning Style], acc_mean_table7[[#This Row],[Reasoning Style]], kenan_acc_table[Example Context], acc_mean_table7[[#This Row],[Example Context]])</calculatedColumnFormula>
    </tableColumn>
    <tableColumn id="7" xr3:uid="{21D8576C-9DD2-4233-9807-CC4FFC2E6FD8}" name="Coherency and Clarity" dataDxfId="5" dataCellStyle="Normal">
      <calculatedColumnFormula>AVERAGEIFS(kenan_acc_table[Coherency and Clarity], kenan_acc_table[Reasoning Style], acc_mean_table7[[#This Row],[Reasoning Style]], kenan_acc_table[Example Context], acc_mean_table7[[#This Row],[Example Context]])</calculatedColumnFormula>
    </tableColumn>
    <tableColumn id="8" xr3:uid="{4B1CD77F-2755-4AC4-8C48-A2743ED301D0}" name="Completeness" dataDxfId="4" dataCellStyle="Normal">
      <calculatedColumnFormula>AVERAGEIFS(kenan_acc_table[Completeness], kenan_acc_table[Reasoning Style], acc_mean_table7[[#This Row],[Reasoning Style]], kenan_acc_table[Example Context], acc_mean_table7[[#This Row],[Example Context]])</calculatedColumnFormula>
    </tableColumn>
    <tableColumn id="9" xr3:uid="{4A0945FB-DE96-46EC-84C1-DD67DE8F0B03}" name="Understanding Depth" dataDxfId="3" dataCellStyle="Normal">
      <calculatedColumnFormula>AVERAGEIFS(kenan_acc_table[Understanding Depth], kenan_acc_table[Reasoning Style], acc_mean_table7[[#This Row],[Reasoning Style]], kenan_acc_table[Example Context], acc_mean_table7[[#This Row],[Example Context]])</calculatedColumnFormula>
    </tableColumn>
    <tableColumn id="4" xr3:uid="{C021210B-E335-474F-AACA-AB7A2A41EEAE}" name="Weighted Total " dataDxfId="2" dataCellStyle="Normal">
      <calculatedColumnFormula>AVERAGEIFS(kenan_acc_table[[Weighted Total ]], kenan_acc_table[Reasoning Style], acc_mean_table7[[#This Row],[Reasoning Style]], kenan_acc_table[Example Context], acc_mean_table7[[#This Row],[Example Context]])</calculatedColumnFormula>
    </tableColumn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41297A-AC55-45D5-B3E1-B3A04F3F347B}" name="helper_table_1" displayName="helper_table_1" ref="B3:E7" totalsRowShown="0" headerRowCellStyle="Normal" dataCellStyle="Normal">
  <autoFilter ref="B3:E7" xr:uid="{0D41297A-AC55-45D5-B3E1-B3A04F3F347B}"/>
  <tableColumns count="4">
    <tableColumn id="1" xr3:uid="{B5060600-BD21-4A19-BD46-332B7FC361AA}" name="Reasoning Style" dataCellStyle="Normal"/>
    <tableColumn id="2" xr3:uid="{6DFE1F23-62BA-4276-AE4B-7D688374EBEA}" name="Example Context" dataCellStyle="Normal"/>
    <tableColumn id="3" xr3:uid="{99E174CE-99B5-4948-9996-FED7249A9474}" name="Prompt Verbosity" dataDxfId="1" dataCellStyle="Normal">
      <calculatedColumnFormula>AVERAGEIFS(tasks_table[Prompt Verbosity ('#tokens)], tasks_table[Reasoning Style], helper_table_1[[#This Row],[Reasoning Style]], tasks_table[Example Context], helper_table_1[[#This Row],[Example Context]])</calculatedColumnFormula>
    </tableColumn>
    <tableColumn id="7" xr3:uid="{1C23406E-43FD-4F5D-85BF-BE927CB15EB2}" name="Response Verbosity" dataDxfId="0" dataCellStyle="Normal">
      <calculatedColumnFormula>AVERAGEIFS(tasks_table[Response Verbosity ('#tokens)], tasks_table[Reasoning Style], helper_table_1[[#This Row],[Reasoning Style]], tasks_table[Example Context], helper_table_1[[#This Row],[Example Context]])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82"/>
  <sheetViews>
    <sheetView workbookViewId="0">
      <selection activeCell="A2" sqref="A2"/>
    </sheetView>
  </sheetViews>
  <sheetFormatPr defaultRowHeight="15" x14ac:dyDescent="0.25"/>
  <cols>
    <col min="1" max="1" width="40.85546875" customWidth="1"/>
    <col min="2" max="2" width="9.42578125" bestFit="1" customWidth="1"/>
    <col min="3" max="3" width="17.42578125" bestFit="1" customWidth="1"/>
    <col min="4" max="4" width="18.42578125" bestFit="1" customWidth="1"/>
    <col min="5" max="5" width="18.28515625" bestFit="1" customWidth="1"/>
    <col min="6" max="6" width="28.28515625" bestFit="1" customWidth="1"/>
    <col min="7" max="7" width="30.28515625" bestFit="1" customWidth="1"/>
    <col min="8" max="8" width="26" bestFit="1" customWidth="1"/>
    <col min="9" max="9" width="12.7109375" bestFit="1" customWidth="1"/>
    <col min="10" max="10" width="61.28515625" customWidth="1"/>
    <col min="11" max="11" width="12.5703125" customWidth="1"/>
  </cols>
  <sheetData>
    <row r="2" spans="2:9" x14ac:dyDescent="0.25">
      <c r="B2" t="s">
        <v>0</v>
      </c>
      <c r="C2" t="s">
        <v>15</v>
      </c>
      <c r="D2" t="s">
        <v>14</v>
      </c>
      <c r="E2" t="s">
        <v>105</v>
      </c>
      <c r="F2" t="s">
        <v>1</v>
      </c>
      <c r="G2" t="s">
        <v>2</v>
      </c>
      <c r="H2" t="s">
        <v>3</v>
      </c>
      <c r="I2" t="s">
        <v>4</v>
      </c>
    </row>
    <row r="3" spans="2:9" x14ac:dyDescent="0.25">
      <c r="B3" t="s">
        <v>5</v>
      </c>
      <c r="C3" t="s">
        <v>17</v>
      </c>
      <c r="D3" t="s">
        <v>92</v>
      </c>
      <c r="E3">
        <f>AVERAGE('Raw Data (Acc.)'!J4,'Raw Data (Acc.)'!J88)</f>
        <v>78</v>
      </c>
      <c r="F3">
        <v>26</v>
      </c>
      <c r="G3">
        <v>143</v>
      </c>
      <c r="H3">
        <f>tasks_table[[#This Row],[Prompt Verbosity ('#tokens)]]+tasks_table[[#This Row],[Response Verbosity ('#tokens)]]</f>
        <v>169</v>
      </c>
      <c r="I3">
        <f>((tasks_table[[#This Row],[Prompt Verbosity ('#tokens)]]/1000000)*1.25) + ((tasks_table[[#This Row],[Response Verbosity ('#tokens)]]/1000000)*10)</f>
        <v>1.4625E-3</v>
      </c>
    </row>
    <row r="4" spans="2:9" x14ac:dyDescent="0.25">
      <c r="B4" t="s">
        <v>6</v>
      </c>
      <c r="C4" t="s">
        <v>17</v>
      </c>
      <c r="D4" t="s">
        <v>92</v>
      </c>
      <c r="E4">
        <f>AVERAGE('Raw Data (Acc.)'!J5,'Raw Data (Acc.)'!J89)</f>
        <v>77</v>
      </c>
      <c r="F4">
        <v>35</v>
      </c>
      <c r="G4">
        <v>86</v>
      </c>
      <c r="H4">
        <f>tasks_table[[#This Row],[Prompt Verbosity ('#tokens)]]+tasks_table[[#This Row],[Response Verbosity ('#tokens)]]</f>
        <v>121</v>
      </c>
      <c r="I4">
        <f>((tasks_table[[#This Row],[Prompt Verbosity ('#tokens)]]/1000000)*1.25) + ((tasks_table[[#This Row],[Response Verbosity ('#tokens)]]/1000000)*10)</f>
        <v>9.0375000000000004E-4</v>
      </c>
    </row>
    <row r="5" spans="2:9" x14ac:dyDescent="0.25">
      <c r="B5" t="s">
        <v>7</v>
      </c>
      <c r="C5" t="s">
        <v>17</v>
      </c>
      <c r="D5" t="s">
        <v>92</v>
      </c>
      <c r="E5">
        <f>AVERAGE('Raw Data (Acc.)'!J6,'Raw Data (Acc.)'!J90)</f>
        <v>85.5</v>
      </c>
      <c r="F5">
        <v>25</v>
      </c>
      <c r="G5">
        <v>146</v>
      </c>
      <c r="H5">
        <f>tasks_table[[#This Row],[Prompt Verbosity ('#tokens)]]+tasks_table[[#This Row],[Response Verbosity ('#tokens)]]</f>
        <v>171</v>
      </c>
      <c r="I5">
        <f>((tasks_table[[#This Row],[Prompt Verbosity ('#tokens)]]/1000000)*1.25) + ((tasks_table[[#This Row],[Response Verbosity ('#tokens)]]/1000000)*10)</f>
        <v>1.49125E-3</v>
      </c>
    </row>
    <row r="6" spans="2:9" x14ac:dyDescent="0.25">
      <c r="B6" t="s">
        <v>8</v>
      </c>
      <c r="C6" t="s">
        <v>17</v>
      </c>
      <c r="D6" t="s">
        <v>92</v>
      </c>
      <c r="E6">
        <f>AVERAGE('Raw Data (Acc.)'!J7,'Raw Data (Acc.)'!J91)</f>
        <v>85.5</v>
      </c>
      <c r="F6">
        <v>20</v>
      </c>
      <c r="G6">
        <v>156</v>
      </c>
      <c r="H6">
        <f>tasks_table[[#This Row],[Prompt Verbosity ('#tokens)]]+tasks_table[[#This Row],[Response Verbosity ('#tokens)]]</f>
        <v>176</v>
      </c>
      <c r="I6">
        <f>((tasks_table[[#This Row],[Prompt Verbosity ('#tokens)]]/1000000)*1.25) + ((tasks_table[[#This Row],[Response Verbosity ('#tokens)]]/1000000)*10)</f>
        <v>1.585E-3</v>
      </c>
    </row>
    <row r="7" spans="2:9" x14ac:dyDescent="0.25">
      <c r="B7" t="s">
        <v>9</v>
      </c>
      <c r="C7" t="s">
        <v>17</v>
      </c>
      <c r="D7" t="s">
        <v>92</v>
      </c>
      <c r="E7">
        <f>AVERAGE('Raw Data (Acc.)'!J8,'Raw Data (Acc.)'!J92)</f>
        <v>78.000000000000014</v>
      </c>
      <c r="F7">
        <v>28</v>
      </c>
      <c r="G7">
        <v>121</v>
      </c>
      <c r="H7">
        <f>tasks_table[[#This Row],[Prompt Verbosity ('#tokens)]]+tasks_table[[#This Row],[Response Verbosity ('#tokens)]]</f>
        <v>149</v>
      </c>
      <c r="I7">
        <f>((tasks_table[[#This Row],[Prompt Verbosity ('#tokens)]]/1000000)*1.25) + ((tasks_table[[#This Row],[Response Verbosity ('#tokens)]]/1000000)*10)</f>
        <v>1.245E-3</v>
      </c>
    </row>
    <row r="8" spans="2:9" x14ac:dyDescent="0.25">
      <c r="B8" t="s">
        <v>10</v>
      </c>
      <c r="C8" t="s">
        <v>17</v>
      </c>
      <c r="D8" t="s">
        <v>92</v>
      </c>
      <c r="E8">
        <f>AVERAGE('Raw Data (Acc.)'!J9,'Raw Data (Acc.)'!J93)</f>
        <v>79</v>
      </c>
      <c r="F8">
        <v>26</v>
      </c>
      <c r="G8">
        <v>90</v>
      </c>
      <c r="H8">
        <f>tasks_table[[#This Row],[Prompt Verbosity ('#tokens)]]+tasks_table[[#This Row],[Response Verbosity ('#tokens)]]</f>
        <v>116</v>
      </c>
      <c r="I8">
        <f>((tasks_table[[#This Row],[Prompt Verbosity ('#tokens)]]/1000000)*1.25) + ((tasks_table[[#This Row],[Response Verbosity ('#tokens)]]/1000000)*10)</f>
        <v>9.3250000000000006E-4</v>
      </c>
    </row>
    <row r="9" spans="2:9" x14ac:dyDescent="0.25">
      <c r="B9" t="s">
        <v>11</v>
      </c>
      <c r="C9" t="s">
        <v>17</v>
      </c>
      <c r="D9" t="s">
        <v>92</v>
      </c>
      <c r="E9">
        <f>AVERAGE('Raw Data (Acc.)'!J10,'Raw Data (Acc.)'!J94)</f>
        <v>84.5</v>
      </c>
      <c r="F9">
        <v>18</v>
      </c>
      <c r="G9">
        <v>100</v>
      </c>
      <c r="H9">
        <f>tasks_table[[#This Row],[Prompt Verbosity ('#tokens)]]+tasks_table[[#This Row],[Response Verbosity ('#tokens)]]</f>
        <v>118</v>
      </c>
      <c r="I9">
        <f>((tasks_table[[#This Row],[Prompt Verbosity ('#tokens)]]/1000000)*1.25) + ((tasks_table[[#This Row],[Response Verbosity ('#tokens)]]/1000000)*10)</f>
        <v>1.0225E-3</v>
      </c>
    </row>
    <row r="10" spans="2:9" x14ac:dyDescent="0.25">
      <c r="B10" t="s">
        <v>12</v>
      </c>
      <c r="C10" t="s">
        <v>17</v>
      </c>
      <c r="D10" t="s">
        <v>92</v>
      </c>
      <c r="E10">
        <f>AVERAGE('Raw Data (Acc.)'!J11,'Raw Data (Acc.)'!J95)</f>
        <v>86</v>
      </c>
      <c r="F10">
        <v>36</v>
      </c>
      <c r="G10">
        <v>148</v>
      </c>
      <c r="H10">
        <f>tasks_table[[#This Row],[Prompt Verbosity ('#tokens)]]+tasks_table[[#This Row],[Response Verbosity ('#tokens)]]</f>
        <v>184</v>
      </c>
      <c r="I10">
        <f>((tasks_table[[#This Row],[Prompt Verbosity ('#tokens)]]/1000000)*1.25) + ((tasks_table[[#This Row],[Response Verbosity ('#tokens)]]/1000000)*10)</f>
        <v>1.5249999999999999E-3</v>
      </c>
    </row>
    <row r="11" spans="2:9" x14ac:dyDescent="0.25">
      <c r="B11" t="s">
        <v>13</v>
      </c>
      <c r="C11" t="s">
        <v>17</v>
      </c>
      <c r="D11" t="s">
        <v>92</v>
      </c>
      <c r="E11">
        <f>AVERAGE('Raw Data (Acc.)'!J12,'Raw Data (Acc.)'!J96)</f>
        <v>74.5</v>
      </c>
      <c r="F11">
        <v>35</v>
      </c>
      <c r="G11">
        <v>111</v>
      </c>
      <c r="H11">
        <f>tasks_table[[#This Row],[Prompt Verbosity ('#tokens)]]+tasks_table[[#This Row],[Response Verbosity ('#tokens)]]</f>
        <v>146</v>
      </c>
      <c r="I11">
        <f>((tasks_table[[#This Row],[Prompt Verbosity ('#tokens)]]/1000000)*1.25) + ((tasks_table[[#This Row],[Response Verbosity ('#tokens)]]/1000000)*10)</f>
        <v>1.15375E-3</v>
      </c>
    </row>
    <row r="12" spans="2:9" x14ac:dyDescent="0.25">
      <c r="B12" t="s">
        <v>21</v>
      </c>
      <c r="C12" t="s">
        <v>17</v>
      </c>
      <c r="D12" t="s">
        <v>92</v>
      </c>
      <c r="E12">
        <f>AVERAGE('Raw Data (Acc.)'!J13,'Raw Data (Acc.)'!J97)</f>
        <v>89.5</v>
      </c>
      <c r="F12">
        <v>30</v>
      </c>
      <c r="G12">
        <v>149</v>
      </c>
      <c r="H12">
        <f>tasks_table[[#This Row],[Prompt Verbosity ('#tokens)]]+tasks_table[[#This Row],[Response Verbosity ('#tokens)]]</f>
        <v>179</v>
      </c>
      <c r="I12">
        <f>((tasks_table[[#This Row],[Prompt Verbosity ('#tokens)]]/1000000)*1.25) + ((tasks_table[[#This Row],[Response Verbosity ('#tokens)]]/1000000)*10)</f>
        <v>1.5275E-3</v>
      </c>
    </row>
    <row r="13" spans="2:9" x14ac:dyDescent="0.25">
      <c r="B13" t="s">
        <v>22</v>
      </c>
      <c r="C13" t="s">
        <v>17</v>
      </c>
      <c r="D13" t="s">
        <v>93</v>
      </c>
      <c r="E13">
        <f>AVERAGE('Raw Data (Acc.)'!J14,'Raw Data (Acc.)'!J98)</f>
        <v>94</v>
      </c>
      <c r="F13">
        <v>93</v>
      </c>
      <c r="G13">
        <v>198</v>
      </c>
      <c r="H13">
        <f>tasks_table[[#This Row],[Prompt Verbosity ('#tokens)]]+tasks_table[[#This Row],[Response Verbosity ('#tokens)]]</f>
        <v>291</v>
      </c>
      <c r="I13">
        <f>((tasks_table[[#This Row],[Prompt Verbosity ('#tokens)]]/1000000)*1.25) + ((tasks_table[[#This Row],[Response Verbosity ('#tokens)]]/1000000)*10)</f>
        <v>2.09625E-3</v>
      </c>
    </row>
    <row r="14" spans="2:9" x14ac:dyDescent="0.25">
      <c r="B14" t="s">
        <v>23</v>
      </c>
      <c r="C14" t="s">
        <v>17</v>
      </c>
      <c r="D14" t="s">
        <v>93</v>
      </c>
      <c r="E14">
        <f>AVERAGE('Raw Data (Acc.)'!J15,'Raw Data (Acc.)'!J99)</f>
        <v>81</v>
      </c>
      <c r="F14">
        <v>59</v>
      </c>
      <c r="G14">
        <v>88</v>
      </c>
      <c r="H14">
        <f>tasks_table[[#This Row],[Prompt Verbosity ('#tokens)]]+tasks_table[[#This Row],[Response Verbosity ('#tokens)]]</f>
        <v>147</v>
      </c>
      <c r="I14">
        <f>((tasks_table[[#This Row],[Prompt Verbosity ('#tokens)]]/1000000)*1.25) + ((tasks_table[[#This Row],[Response Verbosity ('#tokens)]]/1000000)*10)</f>
        <v>9.5374999999999995E-4</v>
      </c>
    </row>
    <row r="15" spans="2:9" x14ac:dyDescent="0.25">
      <c r="B15" t="s">
        <v>24</v>
      </c>
      <c r="C15" t="s">
        <v>17</v>
      </c>
      <c r="D15" t="s">
        <v>93</v>
      </c>
      <c r="E15">
        <f>AVERAGE('Raw Data (Acc.)'!J16,'Raw Data (Acc.)'!J100)</f>
        <v>93.5</v>
      </c>
      <c r="F15">
        <v>67</v>
      </c>
      <c r="G15">
        <v>277</v>
      </c>
      <c r="H15">
        <f>tasks_table[[#This Row],[Prompt Verbosity ('#tokens)]]+tasks_table[[#This Row],[Response Verbosity ('#tokens)]]</f>
        <v>344</v>
      </c>
      <c r="I15">
        <f>((tasks_table[[#This Row],[Prompt Verbosity ('#tokens)]]/1000000)*1.25) + ((tasks_table[[#This Row],[Response Verbosity ('#tokens)]]/1000000)*10)</f>
        <v>2.8537499999999999E-3</v>
      </c>
    </row>
    <row r="16" spans="2:9" x14ac:dyDescent="0.25">
      <c r="B16" t="s">
        <v>25</v>
      </c>
      <c r="C16" t="s">
        <v>17</v>
      </c>
      <c r="D16" t="s">
        <v>93</v>
      </c>
      <c r="E16">
        <f>AVERAGE('Raw Data (Acc.)'!J17,'Raw Data (Acc.)'!J101)</f>
        <v>81.5</v>
      </c>
      <c r="F16">
        <v>62</v>
      </c>
      <c r="G16">
        <v>149</v>
      </c>
      <c r="H16">
        <f>tasks_table[[#This Row],[Prompt Verbosity ('#tokens)]]+tasks_table[[#This Row],[Response Verbosity ('#tokens)]]</f>
        <v>211</v>
      </c>
      <c r="I16">
        <f>((tasks_table[[#This Row],[Prompt Verbosity ('#tokens)]]/1000000)*1.25) + ((tasks_table[[#This Row],[Response Verbosity ('#tokens)]]/1000000)*10)</f>
        <v>1.5675000000000001E-3</v>
      </c>
    </row>
    <row r="17" spans="2:9" x14ac:dyDescent="0.25">
      <c r="B17" t="s">
        <v>26</v>
      </c>
      <c r="C17" t="s">
        <v>17</v>
      </c>
      <c r="D17" t="s">
        <v>93</v>
      </c>
      <c r="E17">
        <f>AVERAGE('Raw Data (Acc.)'!J18,'Raw Data (Acc.)'!J102)</f>
        <v>81.5</v>
      </c>
      <c r="F17">
        <v>75</v>
      </c>
      <c r="G17">
        <v>101</v>
      </c>
      <c r="H17">
        <f>tasks_table[[#This Row],[Prompt Verbosity ('#tokens)]]+tasks_table[[#This Row],[Response Verbosity ('#tokens)]]</f>
        <v>176</v>
      </c>
      <c r="I17">
        <f>((tasks_table[[#This Row],[Prompt Verbosity ('#tokens)]]/1000000)*1.25) + ((tasks_table[[#This Row],[Response Verbosity ('#tokens)]]/1000000)*10)</f>
        <v>1.1037500000000001E-3</v>
      </c>
    </row>
    <row r="18" spans="2:9" x14ac:dyDescent="0.25">
      <c r="B18" t="s">
        <v>27</v>
      </c>
      <c r="C18" t="s">
        <v>17</v>
      </c>
      <c r="D18" t="s">
        <v>93</v>
      </c>
      <c r="E18">
        <f>AVERAGE('Raw Data (Acc.)'!J19,'Raw Data (Acc.)'!J103)</f>
        <v>69.499999999999986</v>
      </c>
      <c r="F18">
        <v>70</v>
      </c>
      <c r="G18">
        <v>24</v>
      </c>
      <c r="H18">
        <f>tasks_table[[#This Row],[Prompt Verbosity ('#tokens)]]+tasks_table[[#This Row],[Response Verbosity ('#tokens)]]</f>
        <v>94</v>
      </c>
      <c r="I18">
        <f>((tasks_table[[#This Row],[Prompt Verbosity ('#tokens)]]/1000000)*1.25) + ((tasks_table[[#This Row],[Response Verbosity ('#tokens)]]/1000000)*10)</f>
        <v>3.2749999999999999E-4</v>
      </c>
    </row>
    <row r="19" spans="2:9" x14ac:dyDescent="0.25">
      <c r="B19" t="s">
        <v>28</v>
      </c>
      <c r="C19" t="s">
        <v>17</v>
      </c>
      <c r="D19" t="s">
        <v>93</v>
      </c>
      <c r="E19">
        <f>AVERAGE('Raw Data (Acc.)'!J20,'Raw Data (Acc.)'!J104)</f>
        <v>86.5</v>
      </c>
      <c r="F19">
        <v>65</v>
      </c>
      <c r="G19">
        <v>88</v>
      </c>
      <c r="H19">
        <f>tasks_table[[#This Row],[Prompt Verbosity ('#tokens)]]+tasks_table[[#This Row],[Response Verbosity ('#tokens)]]</f>
        <v>153</v>
      </c>
      <c r="I19">
        <f>((tasks_table[[#This Row],[Prompt Verbosity ('#tokens)]]/1000000)*1.25) + ((tasks_table[[#This Row],[Response Verbosity ('#tokens)]]/1000000)*10)</f>
        <v>9.6124999999999986E-4</v>
      </c>
    </row>
    <row r="20" spans="2:9" x14ac:dyDescent="0.25">
      <c r="B20" t="s">
        <v>29</v>
      </c>
      <c r="C20" t="s">
        <v>17</v>
      </c>
      <c r="D20" t="s">
        <v>93</v>
      </c>
      <c r="E20">
        <f>AVERAGE('Raw Data (Acc.)'!J21,'Raw Data (Acc.)'!J105)</f>
        <v>89.5</v>
      </c>
      <c r="F20">
        <v>61</v>
      </c>
      <c r="G20">
        <v>138</v>
      </c>
      <c r="H20">
        <f>tasks_table[[#This Row],[Prompt Verbosity ('#tokens)]]+tasks_table[[#This Row],[Response Verbosity ('#tokens)]]</f>
        <v>199</v>
      </c>
      <c r="I20">
        <f>((tasks_table[[#This Row],[Prompt Verbosity ('#tokens)]]/1000000)*1.25) + ((tasks_table[[#This Row],[Response Verbosity ('#tokens)]]/1000000)*10)</f>
        <v>1.4562499999999999E-3</v>
      </c>
    </row>
    <row r="21" spans="2:9" x14ac:dyDescent="0.25">
      <c r="B21" t="s">
        <v>30</v>
      </c>
      <c r="C21" t="s">
        <v>17</v>
      </c>
      <c r="D21" t="s">
        <v>93</v>
      </c>
      <c r="E21">
        <f>AVERAGE('Raw Data (Acc.)'!J22,'Raw Data (Acc.)'!J106)</f>
        <v>71</v>
      </c>
      <c r="F21">
        <v>77</v>
      </c>
      <c r="G21">
        <v>96</v>
      </c>
      <c r="H21">
        <f>tasks_table[[#This Row],[Prompt Verbosity ('#tokens)]]+tasks_table[[#This Row],[Response Verbosity ('#tokens)]]</f>
        <v>173</v>
      </c>
      <c r="I21">
        <f>((tasks_table[[#This Row],[Prompt Verbosity ('#tokens)]]/1000000)*1.25) + ((tasks_table[[#This Row],[Response Verbosity ('#tokens)]]/1000000)*10)</f>
        <v>1.0562500000000001E-3</v>
      </c>
    </row>
    <row r="22" spans="2:9" x14ac:dyDescent="0.25">
      <c r="B22" t="s">
        <v>31</v>
      </c>
      <c r="C22" t="s">
        <v>17</v>
      </c>
      <c r="D22" t="s">
        <v>93</v>
      </c>
      <c r="E22">
        <f>AVERAGE('Raw Data (Acc.)'!J23,'Raw Data (Acc.)'!J107)</f>
        <v>88</v>
      </c>
      <c r="F22">
        <v>82</v>
      </c>
      <c r="G22">
        <v>120</v>
      </c>
      <c r="H22">
        <f>tasks_table[[#This Row],[Prompt Verbosity ('#tokens)]]+tasks_table[[#This Row],[Response Verbosity ('#tokens)]]</f>
        <v>202</v>
      </c>
      <c r="I22">
        <f>((tasks_table[[#This Row],[Prompt Verbosity ('#tokens)]]/1000000)*1.25) + ((tasks_table[[#This Row],[Response Verbosity ('#tokens)]]/1000000)*10)</f>
        <v>1.3025000000000001E-3</v>
      </c>
    </row>
    <row r="23" spans="2:9" x14ac:dyDescent="0.25">
      <c r="B23" t="s">
        <v>32</v>
      </c>
      <c r="C23" t="s">
        <v>19</v>
      </c>
      <c r="D23" t="s">
        <v>92</v>
      </c>
      <c r="E23">
        <f>AVERAGE('Raw Data (Acc.)'!J24,'Raw Data (Acc.)'!J108)</f>
        <v>96.5</v>
      </c>
      <c r="F23">
        <v>67</v>
      </c>
      <c r="G23">
        <v>217</v>
      </c>
      <c r="H23">
        <f>tasks_table[[#This Row],[Prompt Verbosity ('#tokens)]]+tasks_table[[#This Row],[Response Verbosity ('#tokens)]]</f>
        <v>284</v>
      </c>
      <c r="I23">
        <f>((tasks_table[[#This Row],[Prompt Verbosity ('#tokens)]]/1000000)*1.25) + ((tasks_table[[#This Row],[Response Verbosity ('#tokens)]]/1000000)*10)</f>
        <v>2.2537500000000001E-3</v>
      </c>
    </row>
    <row r="24" spans="2:9" x14ac:dyDescent="0.25">
      <c r="B24" t="s">
        <v>33</v>
      </c>
      <c r="C24" t="s">
        <v>19</v>
      </c>
      <c r="D24" t="s">
        <v>92</v>
      </c>
      <c r="E24">
        <f>AVERAGE('Raw Data (Acc.)'!J25,'Raw Data (Acc.)'!J109)</f>
        <v>90</v>
      </c>
      <c r="F24">
        <v>43</v>
      </c>
      <c r="G24">
        <v>154</v>
      </c>
      <c r="H24">
        <f>tasks_table[[#This Row],[Prompt Verbosity ('#tokens)]]+tasks_table[[#This Row],[Response Verbosity ('#tokens)]]</f>
        <v>197</v>
      </c>
      <c r="I24">
        <f>((tasks_table[[#This Row],[Prompt Verbosity ('#tokens)]]/1000000)*1.25) + ((tasks_table[[#This Row],[Response Verbosity ('#tokens)]]/1000000)*10)</f>
        <v>1.5937500000000001E-3</v>
      </c>
    </row>
    <row r="25" spans="2:9" x14ac:dyDescent="0.25">
      <c r="B25" t="s">
        <v>34</v>
      </c>
      <c r="C25" t="s">
        <v>19</v>
      </c>
      <c r="D25" t="s">
        <v>92</v>
      </c>
      <c r="E25">
        <f>AVERAGE('Raw Data (Acc.)'!J26,'Raw Data (Acc.)'!J110)</f>
        <v>86.5</v>
      </c>
      <c r="F25">
        <v>57</v>
      </c>
      <c r="G25">
        <v>385</v>
      </c>
      <c r="H25">
        <f>tasks_table[[#This Row],[Prompt Verbosity ('#tokens)]]+tasks_table[[#This Row],[Response Verbosity ('#tokens)]]</f>
        <v>442</v>
      </c>
      <c r="I25">
        <f>((tasks_table[[#This Row],[Prompt Verbosity ('#tokens)]]/1000000)*1.25) + ((tasks_table[[#This Row],[Response Verbosity ('#tokens)]]/1000000)*10)</f>
        <v>3.9212499999999994E-3</v>
      </c>
    </row>
    <row r="26" spans="2:9" x14ac:dyDescent="0.25">
      <c r="B26" t="s">
        <v>35</v>
      </c>
      <c r="C26" t="s">
        <v>19</v>
      </c>
      <c r="D26" t="s">
        <v>92</v>
      </c>
      <c r="E26">
        <f>AVERAGE('Raw Data (Acc.)'!J27,'Raw Data (Acc.)'!J111)</f>
        <v>94.5</v>
      </c>
      <c r="F26">
        <v>40</v>
      </c>
      <c r="G26">
        <v>328</v>
      </c>
      <c r="H26">
        <f>tasks_table[[#This Row],[Prompt Verbosity ('#tokens)]]+tasks_table[[#This Row],[Response Verbosity ('#tokens)]]</f>
        <v>368</v>
      </c>
      <c r="I26">
        <f>((tasks_table[[#This Row],[Prompt Verbosity ('#tokens)]]/1000000)*1.25) + ((tasks_table[[#This Row],[Response Verbosity ('#tokens)]]/1000000)*10)</f>
        <v>3.3300000000000001E-3</v>
      </c>
    </row>
    <row r="27" spans="2:9" x14ac:dyDescent="0.25">
      <c r="B27" t="s">
        <v>36</v>
      </c>
      <c r="C27" t="s">
        <v>19</v>
      </c>
      <c r="D27" t="s">
        <v>92</v>
      </c>
      <c r="E27">
        <f>AVERAGE('Raw Data (Acc.)'!J28,'Raw Data (Acc.)'!J112)</f>
        <v>96.5</v>
      </c>
      <c r="F27">
        <v>63</v>
      </c>
      <c r="G27">
        <v>239</v>
      </c>
      <c r="H27">
        <f>tasks_table[[#This Row],[Prompt Verbosity ('#tokens)]]+tasks_table[[#This Row],[Response Verbosity ('#tokens)]]</f>
        <v>302</v>
      </c>
      <c r="I27">
        <f>((tasks_table[[#This Row],[Prompt Verbosity ('#tokens)]]/1000000)*1.25) + ((tasks_table[[#This Row],[Response Verbosity ('#tokens)]]/1000000)*10)</f>
        <v>2.46875E-3</v>
      </c>
    </row>
    <row r="28" spans="2:9" x14ac:dyDescent="0.25">
      <c r="B28" t="s">
        <v>37</v>
      </c>
      <c r="C28" t="s">
        <v>19</v>
      </c>
      <c r="D28" t="s">
        <v>92</v>
      </c>
      <c r="E28">
        <f>AVERAGE('Raw Data (Acc.)'!J29,'Raw Data (Acc.)'!J113)</f>
        <v>97.5</v>
      </c>
      <c r="F28">
        <v>58</v>
      </c>
      <c r="G28">
        <v>134</v>
      </c>
      <c r="H28">
        <f>tasks_table[[#This Row],[Prompt Verbosity ('#tokens)]]+tasks_table[[#This Row],[Response Verbosity ('#tokens)]]</f>
        <v>192</v>
      </c>
      <c r="I28">
        <f>((tasks_table[[#This Row],[Prompt Verbosity ('#tokens)]]/1000000)*1.25) + ((tasks_table[[#This Row],[Response Verbosity ('#tokens)]]/1000000)*10)</f>
        <v>1.4125000000000001E-3</v>
      </c>
    </row>
    <row r="29" spans="2:9" x14ac:dyDescent="0.25">
      <c r="B29" t="s">
        <v>38</v>
      </c>
      <c r="C29" t="s">
        <v>19</v>
      </c>
      <c r="D29" t="s">
        <v>92</v>
      </c>
      <c r="E29">
        <f>AVERAGE('Raw Data (Acc.)'!J30,'Raw Data (Acc.)'!J114)</f>
        <v>98</v>
      </c>
      <c r="F29">
        <v>48</v>
      </c>
      <c r="G29">
        <v>207</v>
      </c>
      <c r="H29">
        <f>tasks_table[[#This Row],[Prompt Verbosity ('#tokens)]]+tasks_table[[#This Row],[Response Verbosity ('#tokens)]]</f>
        <v>255</v>
      </c>
      <c r="I29">
        <f>((tasks_table[[#This Row],[Prompt Verbosity ('#tokens)]]/1000000)*1.25) + ((tasks_table[[#This Row],[Response Verbosity ('#tokens)]]/1000000)*10)</f>
        <v>2.1299999999999999E-3</v>
      </c>
    </row>
    <row r="30" spans="2:9" x14ac:dyDescent="0.25">
      <c r="B30" t="s">
        <v>39</v>
      </c>
      <c r="C30" t="s">
        <v>19</v>
      </c>
      <c r="D30" t="s">
        <v>92</v>
      </c>
      <c r="E30">
        <f>AVERAGE('Raw Data (Acc.)'!J31,'Raw Data (Acc.)'!J115)</f>
        <v>90</v>
      </c>
      <c r="F30">
        <v>52</v>
      </c>
      <c r="G30">
        <v>130</v>
      </c>
      <c r="H30">
        <f>tasks_table[[#This Row],[Prompt Verbosity ('#tokens)]]+tasks_table[[#This Row],[Response Verbosity ('#tokens)]]</f>
        <v>182</v>
      </c>
      <c r="I30">
        <f>((tasks_table[[#This Row],[Prompt Verbosity ('#tokens)]]/1000000)*1.25) + ((tasks_table[[#This Row],[Response Verbosity ('#tokens)]]/1000000)*10)</f>
        <v>1.3649999999999999E-3</v>
      </c>
    </row>
    <row r="31" spans="2:9" x14ac:dyDescent="0.25">
      <c r="B31" t="s">
        <v>40</v>
      </c>
      <c r="C31" t="s">
        <v>19</v>
      </c>
      <c r="D31" t="s">
        <v>92</v>
      </c>
      <c r="E31">
        <f>AVERAGE('Raw Data (Acc.)'!J32,'Raw Data (Acc.)'!J116)</f>
        <v>87</v>
      </c>
      <c r="F31">
        <v>92</v>
      </c>
      <c r="G31">
        <v>132</v>
      </c>
      <c r="H31">
        <f>tasks_table[[#This Row],[Prompt Verbosity ('#tokens)]]+tasks_table[[#This Row],[Response Verbosity ('#tokens)]]</f>
        <v>224</v>
      </c>
      <c r="I31">
        <f>((tasks_table[[#This Row],[Prompt Verbosity ('#tokens)]]/1000000)*1.25) + ((tasks_table[[#This Row],[Response Verbosity ('#tokens)]]/1000000)*10)</f>
        <v>1.4350000000000001E-3</v>
      </c>
    </row>
    <row r="32" spans="2:9" x14ac:dyDescent="0.25">
      <c r="B32" t="s">
        <v>41</v>
      </c>
      <c r="C32" t="s">
        <v>19</v>
      </c>
      <c r="D32" t="s">
        <v>92</v>
      </c>
      <c r="E32">
        <f>AVERAGE('Raw Data (Acc.)'!J33,'Raw Data (Acc.)'!J117)</f>
        <v>93</v>
      </c>
      <c r="F32">
        <v>56</v>
      </c>
      <c r="G32">
        <v>185</v>
      </c>
      <c r="H32">
        <f>tasks_table[[#This Row],[Prompt Verbosity ('#tokens)]]+tasks_table[[#This Row],[Response Verbosity ('#tokens)]]</f>
        <v>241</v>
      </c>
      <c r="I32">
        <f>((tasks_table[[#This Row],[Prompt Verbosity ('#tokens)]]/1000000)*1.25) + ((tasks_table[[#This Row],[Response Verbosity ('#tokens)]]/1000000)*10)</f>
        <v>1.92E-3</v>
      </c>
    </row>
    <row r="33" spans="2:9" x14ac:dyDescent="0.25">
      <c r="B33" t="s">
        <v>42</v>
      </c>
      <c r="C33" t="s">
        <v>19</v>
      </c>
      <c r="D33" t="s">
        <v>93</v>
      </c>
      <c r="E33">
        <f>AVERAGE('Raw Data (Acc.)'!J34,'Raw Data (Acc.)'!J118)</f>
        <v>94.5</v>
      </c>
      <c r="F33">
        <v>205</v>
      </c>
      <c r="G33">
        <v>181</v>
      </c>
      <c r="H33">
        <f>tasks_table[[#This Row],[Prompt Verbosity ('#tokens)]]+tasks_table[[#This Row],[Response Verbosity ('#tokens)]]</f>
        <v>386</v>
      </c>
      <c r="I33">
        <f>((tasks_table[[#This Row],[Prompt Verbosity ('#tokens)]]/1000000)*1.25) + ((tasks_table[[#This Row],[Response Verbosity ('#tokens)]]/1000000)*10)</f>
        <v>2.0662499999999999E-3</v>
      </c>
    </row>
    <row r="34" spans="2:9" x14ac:dyDescent="0.25">
      <c r="B34" t="s">
        <v>43</v>
      </c>
      <c r="C34" t="s">
        <v>19</v>
      </c>
      <c r="D34" t="s">
        <v>93</v>
      </c>
      <c r="E34">
        <f>AVERAGE('Raw Data (Acc.)'!J35,'Raw Data (Acc.)'!J119)</f>
        <v>82</v>
      </c>
      <c r="F34">
        <v>192</v>
      </c>
      <c r="G34">
        <v>92</v>
      </c>
      <c r="H34">
        <f>tasks_table[[#This Row],[Prompt Verbosity ('#tokens)]]+tasks_table[[#This Row],[Response Verbosity ('#tokens)]]</f>
        <v>284</v>
      </c>
      <c r="I34">
        <f>((tasks_table[[#This Row],[Prompt Verbosity ('#tokens)]]/1000000)*1.25) + ((tasks_table[[#This Row],[Response Verbosity ('#tokens)]]/1000000)*10)</f>
        <v>1.16E-3</v>
      </c>
    </row>
    <row r="35" spans="2:9" x14ac:dyDescent="0.25">
      <c r="B35" t="s">
        <v>44</v>
      </c>
      <c r="C35" t="s">
        <v>19</v>
      </c>
      <c r="D35" t="s">
        <v>93</v>
      </c>
      <c r="E35">
        <f>AVERAGE('Raw Data (Acc.)'!J36,'Raw Data (Acc.)'!J120)</f>
        <v>93.5</v>
      </c>
      <c r="F35">
        <v>309</v>
      </c>
      <c r="G35">
        <v>394</v>
      </c>
      <c r="H35">
        <f>tasks_table[[#This Row],[Prompt Verbosity ('#tokens)]]+tasks_table[[#This Row],[Response Verbosity ('#tokens)]]</f>
        <v>703</v>
      </c>
      <c r="I35">
        <f>((tasks_table[[#This Row],[Prompt Verbosity ('#tokens)]]/1000000)*1.25) + ((tasks_table[[#This Row],[Response Verbosity ('#tokens)]]/1000000)*10)</f>
        <v>4.3262500000000002E-3</v>
      </c>
    </row>
    <row r="36" spans="2:9" x14ac:dyDescent="0.25">
      <c r="B36" t="s">
        <v>45</v>
      </c>
      <c r="C36" t="s">
        <v>19</v>
      </c>
      <c r="D36" t="s">
        <v>93</v>
      </c>
      <c r="E36">
        <f>AVERAGE('Raw Data (Acc.)'!J37,'Raw Data (Acc.)'!J121)</f>
        <v>95</v>
      </c>
      <c r="F36">
        <v>166</v>
      </c>
      <c r="G36">
        <v>395</v>
      </c>
      <c r="H36">
        <f>tasks_table[[#This Row],[Prompt Verbosity ('#tokens)]]+tasks_table[[#This Row],[Response Verbosity ('#tokens)]]</f>
        <v>561</v>
      </c>
      <c r="I36">
        <f>((tasks_table[[#This Row],[Prompt Verbosity ('#tokens)]]/1000000)*1.25) + ((tasks_table[[#This Row],[Response Verbosity ('#tokens)]]/1000000)*10)</f>
        <v>4.1575000000000006E-3</v>
      </c>
    </row>
    <row r="37" spans="2:9" x14ac:dyDescent="0.25">
      <c r="B37" t="s">
        <v>46</v>
      </c>
      <c r="C37" t="s">
        <v>19</v>
      </c>
      <c r="D37" t="s">
        <v>93</v>
      </c>
      <c r="E37">
        <f>AVERAGE('Raw Data (Acc.)'!J38,'Raw Data (Acc.)'!J122)</f>
        <v>100</v>
      </c>
      <c r="F37">
        <v>178</v>
      </c>
      <c r="G37">
        <v>328</v>
      </c>
      <c r="H37">
        <f>tasks_table[[#This Row],[Prompt Verbosity ('#tokens)]]+tasks_table[[#This Row],[Response Verbosity ('#tokens)]]</f>
        <v>506</v>
      </c>
      <c r="I37">
        <f>((tasks_table[[#This Row],[Prompt Verbosity ('#tokens)]]/1000000)*1.25) + ((tasks_table[[#This Row],[Response Verbosity ('#tokens)]]/1000000)*10)</f>
        <v>3.5025E-3</v>
      </c>
    </row>
    <row r="38" spans="2:9" x14ac:dyDescent="0.25">
      <c r="B38" t="s">
        <v>47</v>
      </c>
      <c r="C38" t="s">
        <v>19</v>
      </c>
      <c r="D38" t="s">
        <v>93</v>
      </c>
      <c r="E38">
        <f>AVERAGE('Raw Data (Acc.)'!J39,'Raw Data (Acc.)'!J123)</f>
        <v>93</v>
      </c>
      <c r="F38">
        <v>141</v>
      </c>
      <c r="G38">
        <v>151</v>
      </c>
      <c r="H38">
        <f>tasks_table[[#This Row],[Prompt Verbosity ('#tokens)]]+tasks_table[[#This Row],[Response Verbosity ('#tokens)]]</f>
        <v>292</v>
      </c>
      <c r="I38">
        <f>((tasks_table[[#This Row],[Prompt Verbosity ('#tokens)]]/1000000)*1.25) + ((tasks_table[[#This Row],[Response Verbosity ('#tokens)]]/1000000)*10)</f>
        <v>1.68625E-3</v>
      </c>
    </row>
    <row r="39" spans="2:9" x14ac:dyDescent="0.25">
      <c r="B39" t="s">
        <v>48</v>
      </c>
      <c r="C39" t="s">
        <v>19</v>
      </c>
      <c r="D39" t="s">
        <v>93</v>
      </c>
      <c r="E39">
        <f>AVERAGE('Raw Data (Acc.)'!J40,'Raw Data (Acc.)'!J124)</f>
        <v>100</v>
      </c>
      <c r="F39">
        <v>110</v>
      </c>
      <c r="G39">
        <v>242</v>
      </c>
      <c r="H39">
        <f>tasks_table[[#This Row],[Prompt Verbosity ('#tokens)]]+tasks_table[[#This Row],[Response Verbosity ('#tokens)]]</f>
        <v>352</v>
      </c>
      <c r="I39">
        <f>((tasks_table[[#This Row],[Prompt Verbosity ('#tokens)]]/1000000)*1.25) + ((tasks_table[[#This Row],[Response Verbosity ('#tokens)]]/1000000)*10)</f>
        <v>2.5574999999999999E-3</v>
      </c>
    </row>
    <row r="40" spans="2:9" x14ac:dyDescent="0.25">
      <c r="B40" t="s">
        <v>49</v>
      </c>
      <c r="C40" t="s">
        <v>19</v>
      </c>
      <c r="D40" t="s">
        <v>93</v>
      </c>
      <c r="E40">
        <f>AVERAGE('Raw Data (Acc.)'!J41,'Raw Data (Acc.)'!J125)</f>
        <v>95.5</v>
      </c>
      <c r="F40">
        <v>182</v>
      </c>
      <c r="G40">
        <v>350</v>
      </c>
      <c r="H40">
        <f>tasks_table[[#This Row],[Prompt Verbosity ('#tokens)]]+tasks_table[[#This Row],[Response Verbosity ('#tokens)]]</f>
        <v>532</v>
      </c>
      <c r="I40">
        <f>((tasks_table[[#This Row],[Prompt Verbosity ('#tokens)]]/1000000)*1.25) + ((tasks_table[[#This Row],[Response Verbosity ('#tokens)]]/1000000)*10)</f>
        <v>3.7274999999999999E-3</v>
      </c>
    </row>
    <row r="41" spans="2:9" x14ac:dyDescent="0.25">
      <c r="B41" t="s">
        <v>50</v>
      </c>
      <c r="C41" t="s">
        <v>19</v>
      </c>
      <c r="D41" t="s">
        <v>93</v>
      </c>
      <c r="E41">
        <f>AVERAGE('Raw Data (Acc.)'!J42,'Raw Data (Acc.)'!J126)</f>
        <v>92.5</v>
      </c>
      <c r="F41">
        <v>144</v>
      </c>
      <c r="G41">
        <v>343</v>
      </c>
      <c r="H41">
        <f>tasks_table[[#This Row],[Prompt Verbosity ('#tokens)]]+tasks_table[[#This Row],[Response Verbosity ('#tokens)]]</f>
        <v>487</v>
      </c>
      <c r="I41">
        <f>((tasks_table[[#This Row],[Prompt Verbosity ('#tokens)]]/1000000)*1.25) + ((tasks_table[[#This Row],[Response Verbosity ('#tokens)]]/1000000)*10)</f>
        <v>3.6099999999999999E-3</v>
      </c>
    </row>
    <row r="42" spans="2:9" x14ac:dyDescent="0.25">
      <c r="B42" t="s">
        <v>51</v>
      </c>
      <c r="C42" t="s">
        <v>19</v>
      </c>
      <c r="D42" t="s">
        <v>93</v>
      </c>
      <c r="E42">
        <f>AVERAGE('Raw Data (Acc.)'!J43,'Raw Data (Acc.)'!J127)</f>
        <v>93.5</v>
      </c>
      <c r="F42">
        <v>292</v>
      </c>
      <c r="G42">
        <v>237</v>
      </c>
      <c r="H42">
        <f>tasks_table[[#This Row],[Prompt Verbosity ('#tokens)]]+tasks_table[[#This Row],[Response Verbosity ('#tokens)]]</f>
        <v>529</v>
      </c>
      <c r="I42">
        <f>((tasks_table[[#This Row],[Prompt Verbosity ('#tokens)]]/1000000)*1.25) + ((tasks_table[[#This Row],[Response Verbosity ('#tokens)]]/1000000)*10)</f>
        <v>2.7349999999999996E-3</v>
      </c>
    </row>
    <row r="43" spans="2:9" x14ac:dyDescent="0.25">
      <c r="B43" t="s">
        <v>52</v>
      </c>
      <c r="C43" t="s">
        <v>17</v>
      </c>
      <c r="D43" t="s">
        <v>92</v>
      </c>
      <c r="E43">
        <f>AVERAGE('Raw Data (Acc.)'!J44,'Raw Data (Acc.)'!J128)</f>
        <v>82.5</v>
      </c>
      <c r="F43">
        <v>30</v>
      </c>
      <c r="G43">
        <v>148</v>
      </c>
      <c r="H43">
        <f>tasks_table[[#This Row],[Prompt Verbosity ('#tokens)]]+tasks_table[[#This Row],[Response Verbosity ('#tokens)]]</f>
        <v>178</v>
      </c>
      <c r="I43">
        <f>((tasks_table[[#This Row],[Prompt Verbosity ('#tokens)]]/1000000)*1.25) + ((tasks_table[[#This Row],[Response Verbosity ('#tokens)]]/1000000)*10)</f>
        <v>1.5175E-3</v>
      </c>
    </row>
    <row r="44" spans="2:9" x14ac:dyDescent="0.25">
      <c r="B44" t="s">
        <v>53</v>
      </c>
      <c r="C44" t="s">
        <v>17</v>
      </c>
      <c r="D44" t="s">
        <v>92</v>
      </c>
      <c r="E44">
        <f>AVERAGE('Raw Data (Acc.)'!J45,'Raw Data (Acc.)'!J129)</f>
        <v>86.5</v>
      </c>
      <c r="F44">
        <v>31</v>
      </c>
      <c r="G44">
        <v>212</v>
      </c>
      <c r="H44">
        <f>tasks_table[[#This Row],[Prompt Verbosity ('#tokens)]]+tasks_table[[#This Row],[Response Verbosity ('#tokens)]]</f>
        <v>243</v>
      </c>
      <c r="I44">
        <f>((tasks_table[[#This Row],[Prompt Verbosity ('#tokens)]]/1000000)*1.25) + ((tasks_table[[#This Row],[Response Verbosity ('#tokens)]]/1000000)*10)</f>
        <v>2.1587500000000001E-3</v>
      </c>
    </row>
    <row r="45" spans="2:9" x14ac:dyDescent="0.25">
      <c r="B45" t="s">
        <v>54</v>
      </c>
      <c r="C45" t="s">
        <v>17</v>
      </c>
      <c r="D45" t="s">
        <v>92</v>
      </c>
      <c r="E45">
        <f>AVERAGE('Raw Data (Acc.)'!J46,'Raw Data (Acc.)'!J130)</f>
        <v>80.5</v>
      </c>
      <c r="F45">
        <v>25</v>
      </c>
      <c r="G45">
        <v>133</v>
      </c>
      <c r="H45">
        <f>tasks_table[[#This Row],[Prompt Verbosity ('#tokens)]]+tasks_table[[#This Row],[Response Verbosity ('#tokens)]]</f>
        <v>158</v>
      </c>
      <c r="I45">
        <f>((tasks_table[[#This Row],[Prompt Verbosity ('#tokens)]]/1000000)*1.25) + ((tasks_table[[#This Row],[Response Verbosity ('#tokens)]]/1000000)*10)</f>
        <v>1.36125E-3</v>
      </c>
    </row>
    <row r="46" spans="2:9" x14ac:dyDescent="0.25">
      <c r="B46" t="s">
        <v>55</v>
      </c>
      <c r="C46" t="s">
        <v>17</v>
      </c>
      <c r="D46" t="s">
        <v>92</v>
      </c>
      <c r="E46">
        <f>AVERAGE('Raw Data (Acc.)'!J47,'Raw Data (Acc.)'!J131)</f>
        <v>86</v>
      </c>
      <c r="F46">
        <v>31</v>
      </c>
      <c r="G46">
        <v>207</v>
      </c>
      <c r="H46">
        <f>tasks_table[[#This Row],[Prompt Verbosity ('#tokens)]]+tasks_table[[#This Row],[Response Verbosity ('#tokens)]]</f>
        <v>238</v>
      </c>
      <c r="I46">
        <f>((tasks_table[[#This Row],[Prompt Verbosity ('#tokens)]]/1000000)*1.25) + ((tasks_table[[#This Row],[Response Verbosity ('#tokens)]]/1000000)*10)</f>
        <v>2.1087499999999999E-3</v>
      </c>
    </row>
    <row r="47" spans="2:9" x14ac:dyDescent="0.25">
      <c r="B47" t="s">
        <v>56</v>
      </c>
      <c r="C47" t="s">
        <v>17</v>
      </c>
      <c r="D47" t="s">
        <v>92</v>
      </c>
      <c r="E47">
        <f>AVERAGE('Raw Data (Acc.)'!J48,'Raw Data (Acc.)'!J132)</f>
        <v>86.5</v>
      </c>
      <c r="F47">
        <v>26</v>
      </c>
      <c r="G47">
        <v>151</v>
      </c>
      <c r="H47">
        <f>tasks_table[[#This Row],[Prompt Verbosity ('#tokens)]]+tasks_table[[#This Row],[Response Verbosity ('#tokens)]]</f>
        <v>177</v>
      </c>
      <c r="I47">
        <f>((tasks_table[[#This Row],[Prompt Verbosity ('#tokens)]]/1000000)*1.25) + ((tasks_table[[#This Row],[Response Verbosity ('#tokens)]]/1000000)*10)</f>
        <v>1.5425E-3</v>
      </c>
    </row>
    <row r="48" spans="2:9" x14ac:dyDescent="0.25">
      <c r="B48" t="s">
        <v>57</v>
      </c>
      <c r="C48" t="s">
        <v>17</v>
      </c>
      <c r="D48" t="s">
        <v>92</v>
      </c>
      <c r="E48">
        <f>AVERAGE('Raw Data (Acc.)'!J49,'Raw Data (Acc.)'!J133)</f>
        <v>81</v>
      </c>
      <c r="F48">
        <v>40</v>
      </c>
      <c r="G48">
        <v>210</v>
      </c>
      <c r="H48">
        <f>tasks_table[[#This Row],[Prompt Verbosity ('#tokens)]]+tasks_table[[#This Row],[Response Verbosity ('#tokens)]]</f>
        <v>250</v>
      </c>
      <c r="I48">
        <f>((tasks_table[[#This Row],[Prompt Verbosity ('#tokens)]]/1000000)*1.25) + ((tasks_table[[#This Row],[Response Verbosity ('#tokens)]]/1000000)*10)</f>
        <v>2.1500000000000004E-3</v>
      </c>
    </row>
    <row r="49" spans="2:9" x14ac:dyDescent="0.25">
      <c r="B49" t="s">
        <v>58</v>
      </c>
      <c r="C49" t="s">
        <v>17</v>
      </c>
      <c r="D49" t="s">
        <v>92</v>
      </c>
      <c r="E49">
        <f>AVERAGE('Raw Data (Acc.)'!J50,'Raw Data (Acc.)'!J134)</f>
        <v>83.5</v>
      </c>
      <c r="F49">
        <v>33</v>
      </c>
      <c r="G49">
        <v>231</v>
      </c>
      <c r="H49">
        <f>tasks_table[[#This Row],[Prompt Verbosity ('#tokens)]]+tasks_table[[#This Row],[Response Verbosity ('#tokens)]]</f>
        <v>264</v>
      </c>
      <c r="I49">
        <f>((tasks_table[[#This Row],[Prompt Verbosity ('#tokens)]]/1000000)*1.25) + ((tasks_table[[#This Row],[Response Verbosity ('#tokens)]]/1000000)*10)</f>
        <v>2.35125E-3</v>
      </c>
    </row>
    <row r="50" spans="2:9" x14ac:dyDescent="0.25">
      <c r="B50" t="s">
        <v>59</v>
      </c>
      <c r="C50" t="s">
        <v>17</v>
      </c>
      <c r="D50" t="s">
        <v>92</v>
      </c>
      <c r="E50">
        <f>AVERAGE('Raw Data (Acc.)'!J51,'Raw Data (Acc.)'!J135)</f>
        <v>88</v>
      </c>
      <c r="F50">
        <v>24</v>
      </c>
      <c r="G50">
        <v>147</v>
      </c>
      <c r="H50">
        <f>tasks_table[[#This Row],[Prompt Verbosity ('#tokens)]]+tasks_table[[#This Row],[Response Verbosity ('#tokens)]]</f>
        <v>171</v>
      </c>
      <c r="I50">
        <f>((tasks_table[[#This Row],[Prompt Verbosity ('#tokens)]]/1000000)*1.25) + ((tasks_table[[#This Row],[Response Verbosity ('#tokens)]]/1000000)*10)</f>
        <v>1.5E-3</v>
      </c>
    </row>
    <row r="51" spans="2:9" x14ac:dyDescent="0.25">
      <c r="B51" t="s">
        <v>60</v>
      </c>
      <c r="C51" t="s">
        <v>17</v>
      </c>
      <c r="D51" t="s">
        <v>92</v>
      </c>
      <c r="E51">
        <f>AVERAGE('Raw Data (Acc.)'!J52,'Raw Data (Acc.)'!J136)</f>
        <v>83</v>
      </c>
      <c r="F51">
        <v>23</v>
      </c>
      <c r="G51">
        <v>210</v>
      </c>
      <c r="H51">
        <f>tasks_table[[#This Row],[Prompt Verbosity ('#tokens)]]+tasks_table[[#This Row],[Response Verbosity ('#tokens)]]</f>
        <v>233</v>
      </c>
      <c r="I51">
        <f>((tasks_table[[#This Row],[Prompt Verbosity ('#tokens)]]/1000000)*1.25) + ((tasks_table[[#This Row],[Response Verbosity ('#tokens)]]/1000000)*10)</f>
        <v>2.1287500000000004E-3</v>
      </c>
    </row>
    <row r="52" spans="2:9" x14ac:dyDescent="0.25">
      <c r="B52" t="s">
        <v>61</v>
      </c>
      <c r="C52" t="s">
        <v>17</v>
      </c>
      <c r="D52" t="s">
        <v>92</v>
      </c>
      <c r="E52">
        <f>AVERAGE('Raw Data (Acc.)'!J53,'Raw Data (Acc.)'!J137)</f>
        <v>83.5</v>
      </c>
      <c r="F52">
        <v>40</v>
      </c>
      <c r="G52">
        <v>321</v>
      </c>
      <c r="H52">
        <f>tasks_table[[#This Row],[Prompt Verbosity ('#tokens)]]+tasks_table[[#This Row],[Response Verbosity ('#tokens)]]</f>
        <v>361</v>
      </c>
      <c r="I52">
        <f>((tasks_table[[#This Row],[Prompt Verbosity ('#tokens)]]/1000000)*1.25) + ((tasks_table[[#This Row],[Response Verbosity ('#tokens)]]/1000000)*10)</f>
        <v>3.2600000000000003E-3</v>
      </c>
    </row>
    <row r="53" spans="2:9" x14ac:dyDescent="0.25">
      <c r="B53" t="s">
        <v>62</v>
      </c>
      <c r="C53" t="s">
        <v>17</v>
      </c>
      <c r="D53" t="s">
        <v>93</v>
      </c>
      <c r="E53">
        <f>AVERAGE('Raw Data (Acc.)'!J54,'Raw Data (Acc.)'!J138)</f>
        <v>80</v>
      </c>
      <c r="F53">
        <v>70</v>
      </c>
      <c r="G53">
        <v>133</v>
      </c>
      <c r="H53">
        <f>tasks_table[[#This Row],[Prompt Verbosity ('#tokens)]]+tasks_table[[#This Row],[Response Verbosity ('#tokens)]]</f>
        <v>203</v>
      </c>
      <c r="I53">
        <f>((tasks_table[[#This Row],[Prompt Verbosity ('#tokens)]]/1000000)*1.25) + ((tasks_table[[#This Row],[Response Verbosity ('#tokens)]]/1000000)*10)</f>
        <v>1.4174999999999999E-3</v>
      </c>
    </row>
    <row r="54" spans="2:9" x14ac:dyDescent="0.25">
      <c r="B54" t="s">
        <v>63</v>
      </c>
      <c r="C54" t="s">
        <v>17</v>
      </c>
      <c r="D54" t="s">
        <v>93</v>
      </c>
      <c r="E54">
        <f>AVERAGE('Raw Data (Acc.)'!J55,'Raw Data (Acc.)'!J139)</f>
        <v>88</v>
      </c>
      <c r="F54">
        <v>62</v>
      </c>
      <c r="G54">
        <v>308</v>
      </c>
      <c r="H54">
        <f>tasks_table[[#This Row],[Prompt Verbosity ('#tokens)]]+tasks_table[[#This Row],[Response Verbosity ('#tokens)]]</f>
        <v>370</v>
      </c>
      <c r="I54">
        <f>((tasks_table[[#This Row],[Prompt Verbosity ('#tokens)]]/1000000)*1.25) + ((tasks_table[[#This Row],[Response Verbosity ('#tokens)]]/1000000)*10)</f>
        <v>3.1575000000000002E-3</v>
      </c>
    </row>
    <row r="55" spans="2:9" x14ac:dyDescent="0.25">
      <c r="B55" t="s">
        <v>64</v>
      </c>
      <c r="C55" t="s">
        <v>17</v>
      </c>
      <c r="D55" t="s">
        <v>93</v>
      </c>
      <c r="E55">
        <f>AVERAGE('Raw Data (Acc.)'!J56,'Raw Data (Acc.)'!J140)</f>
        <v>88</v>
      </c>
      <c r="F55">
        <v>101</v>
      </c>
      <c r="G55">
        <v>215</v>
      </c>
      <c r="H55">
        <f>tasks_table[[#This Row],[Prompt Verbosity ('#tokens)]]+tasks_table[[#This Row],[Response Verbosity ('#tokens)]]</f>
        <v>316</v>
      </c>
      <c r="I55">
        <f>((tasks_table[[#This Row],[Prompt Verbosity ('#tokens)]]/1000000)*1.25) + ((tasks_table[[#This Row],[Response Verbosity ('#tokens)]]/1000000)*10)</f>
        <v>2.2762500000000001E-3</v>
      </c>
    </row>
    <row r="56" spans="2:9" x14ac:dyDescent="0.25">
      <c r="B56" t="s">
        <v>65</v>
      </c>
      <c r="C56" t="s">
        <v>17</v>
      </c>
      <c r="D56" t="s">
        <v>93</v>
      </c>
      <c r="E56">
        <f>AVERAGE('Raw Data (Acc.)'!J57,'Raw Data (Acc.)'!J141)</f>
        <v>79</v>
      </c>
      <c r="F56">
        <v>114</v>
      </c>
      <c r="G56">
        <v>225</v>
      </c>
      <c r="H56">
        <f>tasks_table[[#This Row],[Prompt Verbosity ('#tokens)]]+tasks_table[[#This Row],[Response Verbosity ('#tokens)]]</f>
        <v>339</v>
      </c>
      <c r="I56">
        <f>((tasks_table[[#This Row],[Prompt Verbosity ('#tokens)]]/1000000)*1.25) + ((tasks_table[[#This Row],[Response Verbosity ('#tokens)]]/1000000)*10)</f>
        <v>2.3924999999999997E-3</v>
      </c>
    </row>
    <row r="57" spans="2:9" x14ac:dyDescent="0.25">
      <c r="B57" t="s">
        <v>66</v>
      </c>
      <c r="C57" t="s">
        <v>17</v>
      </c>
      <c r="D57" t="s">
        <v>93</v>
      </c>
      <c r="E57">
        <f>AVERAGE('Raw Data (Acc.)'!J58,'Raw Data (Acc.)'!J142)</f>
        <v>86</v>
      </c>
      <c r="F57">
        <v>55</v>
      </c>
      <c r="G57">
        <v>144</v>
      </c>
      <c r="H57">
        <f>tasks_table[[#This Row],[Prompt Verbosity ('#tokens)]]+tasks_table[[#This Row],[Response Verbosity ('#tokens)]]</f>
        <v>199</v>
      </c>
      <c r="I57">
        <f>((tasks_table[[#This Row],[Prompt Verbosity ('#tokens)]]/1000000)*1.25) + ((tasks_table[[#This Row],[Response Verbosity ('#tokens)]]/1000000)*10)</f>
        <v>1.5087500000000001E-3</v>
      </c>
    </row>
    <row r="58" spans="2:9" x14ac:dyDescent="0.25">
      <c r="B58" t="s">
        <v>67</v>
      </c>
      <c r="C58" t="s">
        <v>17</v>
      </c>
      <c r="D58" t="s">
        <v>93</v>
      </c>
      <c r="E58">
        <f>AVERAGE('Raw Data (Acc.)'!J59,'Raw Data (Acc.)'!J143)</f>
        <v>85.5</v>
      </c>
      <c r="F58">
        <v>58</v>
      </c>
      <c r="G58">
        <v>286</v>
      </c>
      <c r="H58">
        <f>tasks_table[[#This Row],[Prompt Verbosity ('#tokens)]]+tasks_table[[#This Row],[Response Verbosity ('#tokens)]]</f>
        <v>344</v>
      </c>
      <c r="I58">
        <f>((tasks_table[[#This Row],[Prompt Verbosity ('#tokens)]]/1000000)*1.25) + ((tasks_table[[#This Row],[Response Verbosity ('#tokens)]]/1000000)*10)</f>
        <v>2.9325000000000002E-3</v>
      </c>
    </row>
    <row r="59" spans="2:9" x14ac:dyDescent="0.25">
      <c r="B59" t="s">
        <v>68</v>
      </c>
      <c r="C59" t="s">
        <v>17</v>
      </c>
      <c r="D59" t="s">
        <v>93</v>
      </c>
      <c r="E59">
        <f>AVERAGE('Raw Data (Acc.)'!J60,'Raw Data (Acc.)'!J144)</f>
        <v>86</v>
      </c>
      <c r="F59">
        <v>68</v>
      </c>
      <c r="G59">
        <v>234</v>
      </c>
      <c r="H59">
        <f>tasks_table[[#This Row],[Prompt Verbosity ('#tokens)]]+tasks_table[[#This Row],[Response Verbosity ('#tokens)]]</f>
        <v>302</v>
      </c>
      <c r="I59">
        <f>((tasks_table[[#This Row],[Prompt Verbosity ('#tokens)]]/1000000)*1.25) + ((tasks_table[[#This Row],[Response Verbosity ('#tokens)]]/1000000)*10)</f>
        <v>2.4250000000000001E-3</v>
      </c>
    </row>
    <row r="60" spans="2:9" x14ac:dyDescent="0.25">
      <c r="B60" t="s">
        <v>69</v>
      </c>
      <c r="C60" t="s">
        <v>17</v>
      </c>
      <c r="D60" t="s">
        <v>93</v>
      </c>
      <c r="E60">
        <f>AVERAGE('Raw Data (Acc.)'!J61,'Raw Data (Acc.)'!J145)</f>
        <v>78.5</v>
      </c>
      <c r="F60">
        <v>106</v>
      </c>
      <c r="G60">
        <v>165</v>
      </c>
      <c r="H60">
        <f>tasks_table[[#This Row],[Prompt Verbosity ('#tokens)]]+tasks_table[[#This Row],[Response Verbosity ('#tokens)]]</f>
        <v>271</v>
      </c>
      <c r="I60">
        <f>((tasks_table[[#This Row],[Prompt Verbosity ('#tokens)]]/1000000)*1.25) + ((tasks_table[[#This Row],[Response Verbosity ('#tokens)]]/1000000)*10)</f>
        <v>1.7825E-3</v>
      </c>
    </row>
    <row r="61" spans="2:9" x14ac:dyDescent="0.25">
      <c r="B61" t="s">
        <v>70</v>
      </c>
      <c r="C61" t="s">
        <v>17</v>
      </c>
      <c r="D61" t="s">
        <v>93</v>
      </c>
      <c r="E61">
        <f>AVERAGE('Raw Data (Acc.)'!J62,'Raw Data (Acc.)'!J146)</f>
        <v>85.5</v>
      </c>
      <c r="F61">
        <v>131</v>
      </c>
      <c r="G61">
        <v>227</v>
      </c>
      <c r="H61">
        <f>tasks_table[[#This Row],[Prompt Verbosity ('#tokens)]]+tasks_table[[#This Row],[Response Verbosity ('#tokens)]]</f>
        <v>358</v>
      </c>
      <c r="I61">
        <f>((tasks_table[[#This Row],[Prompt Verbosity ('#tokens)]]/1000000)*1.25) + ((tasks_table[[#This Row],[Response Verbosity ('#tokens)]]/1000000)*10)</f>
        <v>2.4337499999999997E-3</v>
      </c>
    </row>
    <row r="62" spans="2:9" x14ac:dyDescent="0.25">
      <c r="B62" t="s">
        <v>71</v>
      </c>
      <c r="C62" t="s">
        <v>17</v>
      </c>
      <c r="D62" t="s">
        <v>93</v>
      </c>
      <c r="E62">
        <f>AVERAGE('Raw Data (Acc.)'!J63,'Raw Data (Acc.)'!J147)</f>
        <v>88</v>
      </c>
      <c r="F62">
        <v>73</v>
      </c>
      <c r="G62">
        <v>226</v>
      </c>
      <c r="H62">
        <f>tasks_table[[#This Row],[Prompt Verbosity ('#tokens)]]+tasks_table[[#This Row],[Response Verbosity ('#tokens)]]</f>
        <v>299</v>
      </c>
      <c r="I62">
        <f>((tasks_table[[#This Row],[Prompt Verbosity ('#tokens)]]/1000000)*1.25) + ((tasks_table[[#This Row],[Response Verbosity ('#tokens)]]/1000000)*10)</f>
        <v>2.35125E-3</v>
      </c>
    </row>
    <row r="63" spans="2:9" x14ac:dyDescent="0.25">
      <c r="B63" t="s">
        <v>72</v>
      </c>
      <c r="C63" t="s">
        <v>19</v>
      </c>
      <c r="D63" t="s">
        <v>92</v>
      </c>
      <c r="E63">
        <f>AVERAGE('Raw Data (Acc.)'!J64,'Raw Data (Acc.)'!J148)</f>
        <v>95.5</v>
      </c>
      <c r="F63">
        <v>103</v>
      </c>
      <c r="G63">
        <v>392</v>
      </c>
      <c r="H63">
        <f>tasks_table[[#This Row],[Prompt Verbosity ('#tokens)]]+tasks_table[[#This Row],[Response Verbosity ('#tokens)]]</f>
        <v>495</v>
      </c>
      <c r="I63">
        <f>((tasks_table[[#This Row],[Prompt Verbosity ('#tokens)]]/1000000)*1.25) + ((tasks_table[[#This Row],[Response Verbosity ('#tokens)]]/1000000)*10)</f>
        <v>4.0487500000000003E-3</v>
      </c>
    </row>
    <row r="64" spans="2:9" x14ac:dyDescent="0.25">
      <c r="B64" t="s">
        <v>73</v>
      </c>
      <c r="C64" t="s">
        <v>19</v>
      </c>
      <c r="D64" t="s">
        <v>92</v>
      </c>
      <c r="E64">
        <f>AVERAGE('Raw Data (Acc.)'!J65,'Raw Data (Acc.)'!J149)</f>
        <v>92</v>
      </c>
      <c r="F64">
        <v>63</v>
      </c>
      <c r="G64">
        <v>288</v>
      </c>
      <c r="H64">
        <f>tasks_table[[#This Row],[Prompt Verbosity ('#tokens)]]+tasks_table[[#This Row],[Response Verbosity ('#tokens)]]</f>
        <v>351</v>
      </c>
      <c r="I64">
        <f>((tasks_table[[#This Row],[Prompt Verbosity ('#tokens)]]/1000000)*1.25) + ((tasks_table[[#This Row],[Response Verbosity ('#tokens)]]/1000000)*10)</f>
        <v>2.95875E-3</v>
      </c>
    </row>
    <row r="65" spans="2:9" x14ac:dyDescent="0.25">
      <c r="B65" t="s">
        <v>74</v>
      </c>
      <c r="C65" t="s">
        <v>19</v>
      </c>
      <c r="D65" t="s">
        <v>92</v>
      </c>
      <c r="E65">
        <f>AVERAGE('Raw Data (Acc.)'!J66,'Raw Data (Acc.)'!J150)</f>
        <v>94.5</v>
      </c>
      <c r="F65">
        <v>79</v>
      </c>
      <c r="G65">
        <v>260</v>
      </c>
      <c r="H65">
        <f>tasks_table[[#This Row],[Prompt Verbosity ('#tokens)]]+tasks_table[[#This Row],[Response Verbosity ('#tokens)]]</f>
        <v>339</v>
      </c>
      <c r="I65">
        <f>((tasks_table[[#This Row],[Prompt Verbosity ('#tokens)]]/1000000)*1.25) + ((tasks_table[[#This Row],[Response Verbosity ('#tokens)]]/1000000)*10)</f>
        <v>2.6987499999999998E-3</v>
      </c>
    </row>
    <row r="66" spans="2:9" x14ac:dyDescent="0.25">
      <c r="B66" t="s">
        <v>75</v>
      </c>
      <c r="C66" t="s">
        <v>19</v>
      </c>
      <c r="D66" t="s">
        <v>92</v>
      </c>
      <c r="E66">
        <f>AVERAGE('Raw Data (Acc.)'!J67,'Raw Data (Acc.)'!J151)</f>
        <v>94.5</v>
      </c>
      <c r="F66">
        <v>74</v>
      </c>
      <c r="G66">
        <v>345</v>
      </c>
      <c r="H66">
        <f>tasks_table[[#This Row],[Prompt Verbosity ('#tokens)]]+tasks_table[[#This Row],[Response Verbosity ('#tokens)]]</f>
        <v>419</v>
      </c>
      <c r="I66">
        <f>((tasks_table[[#This Row],[Prompt Verbosity ('#tokens)]]/1000000)*1.25) + ((tasks_table[[#This Row],[Response Verbosity ('#tokens)]]/1000000)*10)</f>
        <v>3.5425000000000001E-3</v>
      </c>
    </row>
    <row r="67" spans="2:9" x14ac:dyDescent="0.25">
      <c r="B67" t="s">
        <v>76</v>
      </c>
      <c r="C67" t="s">
        <v>19</v>
      </c>
      <c r="D67" t="s">
        <v>92</v>
      </c>
      <c r="E67">
        <f>AVERAGE('Raw Data (Acc.)'!J68,'Raw Data (Acc.)'!J152)</f>
        <v>90.5</v>
      </c>
      <c r="F67">
        <v>74</v>
      </c>
      <c r="G67">
        <v>258</v>
      </c>
      <c r="H67">
        <f>tasks_table[[#This Row],[Prompt Verbosity ('#tokens)]]+tasks_table[[#This Row],[Response Verbosity ('#tokens)]]</f>
        <v>332</v>
      </c>
      <c r="I67">
        <f>((tasks_table[[#This Row],[Prompt Verbosity ('#tokens)]]/1000000)*1.25) + ((tasks_table[[#This Row],[Response Verbosity ('#tokens)]]/1000000)*10)</f>
        <v>2.6725E-3</v>
      </c>
    </row>
    <row r="68" spans="2:9" x14ac:dyDescent="0.25">
      <c r="B68" t="s">
        <v>77</v>
      </c>
      <c r="C68" t="s">
        <v>19</v>
      </c>
      <c r="D68" t="s">
        <v>92</v>
      </c>
      <c r="E68">
        <f>AVERAGE('Raw Data (Acc.)'!J69,'Raw Data (Acc.)'!J153)</f>
        <v>92</v>
      </c>
      <c r="F68">
        <v>129</v>
      </c>
      <c r="G68">
        <v>369</v>
      </c>
      <c r="H68">
        <f>tasks_table[[#This Row],[Prompt Verbosity ('#tokens)]]+tasks_table[[#This Row],[Response Verbosity ('#tokens)]]</f>
        <v>498</v>
      </c>
      <c r="I68">
        <f>((tasks_table[[#This Row],[Prompt Verbosity ('#tokens)]]/1000000)*1.25) + ((tasks_table[[#This Row],[Response Verbosity ('#tokens)]]/1000000)*10)</f>
        <v>3.8512500000000001E-3</v>
      </c>
    </row>
    <row r="69" spans="2:9" x14ac:dyDescent="0.25">
      <c r="B69" t="s">
        <v>78</v>
      </c>
      <c r="C69" t="s">
        <v>19</v>
      </c>
      <c r="D69" t="s">
        <v>92</v>
      </c>
      <c r="E69">
        <f>AVERAGE('Raw Data (Acc.)'!J70,'Raw Data (Acc.)'!J154)</f>
        <v>95</v>
      </c>
      <c r="F69">
        <v>95</v>
      </c>
      <c r="G69">
        <v>409</v>
      </c>
      <c r="H69">
        <f>tasks_table[[#This Row],[Prompt Verbosity ('#tokens)]]+tasks_table[[#This Row],[Response Verbosity ('#tokens)]]</f>
        <v>504</v>
      </c>
      <c r="I69">
        <f>((tasks_table[[#This Row],[Prompt Verbosity ('#tokens)]]/1000000)*1.25) + ((tasks_table[[#This Row],[Response Verbosity ('#tokens)]]/1000000)*10)</f>
        <v>4.2087499999999998E-3</v>
      </c>
    </row>
    <row r="70" spans="2:9" x14ac:dyDescent="0.25">
      <c r="B70" t="s">
        <v>79</v>
      </c>
      <c r="C70" t="s">
        <v>19</v>
      </c>
      <c r="D70" t="s">
        <v>92</v>
      </c>
      <c r="E70">
        <f>AVERAGE('Raw Data (Acc.)'!J71,'Raw Data (Acc.)'!J155)</f>
        <v>95</v>
      </c>
      <c r="F70">
        <v>78</v>
      </c>
      <c r="G70">
        <v>309</v>
      </c>
      <c r="H70">
        <f>tasks_table[[#This Row],[Prompt Verbosity ('#tokens)]]+tasks_table[[#This Row],[Response Verbosity ('#tokens)]]</f>
        <v>387</v>
      </c>
      <c r="I70">
        <f>((tasks_table[[#This Row],[Prompt Verbosity ('#tokens)]]/1000000)*1.25) + ((tasks_table[[#This Row],[Response Verbosity ('#tokens)]]/1000000)*10)</f>
        <v>3.1874999999999998E-3</v>
      </c>
    </row>
    <row r="71" spans="2:9" x14ac:dyDescent="0.25">
      <c r="B71" t="s">
        <v>80</v>
      </c>
      <c r="C71" t="s">
        <v>19</v>
      </c>
      <c r="D71" t="s">
        <v>92</v>
      </c>
      <c r="E71">
        <f>AVERAGE('Raw Data (Acc.)'!J72,'Raw Data (Acc.)'!J156)</f>
        <v>95</v>
      </c>
      <c r="F71">
        <v>102</v>
      </c>
      <c r="G71">
        <v>739</v>
      </c>
      <c r="H71">
        <f>tasks_table[[#This Row],[Prompt Verbosity ('#tokens)]]+tasks_table[[#This Row],[Response Verbosity ('#tokens)]]</f>
        <v>841</v>
      </c>
      <c r="I71">
        <f>((tasks_table[[#This Row],[Prompt Verbosity ('#tokens)]]/1000000)*1.25) + ((tasks_table[[#This Row],[Response Verbosity ('#tokens)]]/1000000)*10)</f>
        <v>7.5174999999999999E-3</v>
      </c>
    </row>
    <row r="72" spans="2:9" x14ac:dyDescent="0.25">
      <c r="B72" t="s">
        <v>81</v>
      </c>
      <c r="C72" t="s">
        <v>19</v>
      </c>
      <c r="D72" t="s">
        <v>92</v>
      </c>
      <c r="E72">
        <f>AVERAGE('Raw Data (Acc.)'!J73,'Raw Data (Acc.)'!J157)</f>
        <v>87.5</v>
      </c>
      <c r="F72">
        <v>75</v>
      </c>
      <c r="G72">
        <v>282</v>
      </c>
      <c r="H72">
        <f>tasks_table[[#This Row],[Prompt Verbosity ('#tokens)]]+tasks_table[[#This Row],[Response Verbosity ('#tokens)]]</f>
        <v>357</v>
      </c>
      <c r="I72">
        <f>((tasks_table[[#This Row],[Prompt Verbosity ('#tokens)]]/1000000)*1.25) + ((tasks_table[[#This Row],[Response Verbosity ('#tokens)]]/1000000)*10)</f>
        <v>2.9137500000000005E-3</v>
      </c>
    </row>
    <row r="73" spans="2:9" x14ac:dyDescent="0.25">
      <c r="B73" t="s">
        <v>82</v>
      </c>
      <c r="C73" t="s">
        <v>19</v>
      </c>
      <c r="D73" t="s">
        <v>93</v>
      </c>
      <c r="E73">
        <f>AVERAGE('Raw Data (Acc.)'!J74,'Raw Data (Acc.)'!J158)</f>
        <v>93</v>
      </c>
      <c r="F73">
        <v>287</v>
      </c>
      <c r="G73">
        <v>237</v>
      </c>
      <c r="H73">
        <f>tasks_table[[#This Row],[Prompt Verbosity ('#tokens)]]+tasks_table[[#This Row],[Response Verbosity ('#tokens)]]</f>
        <v>524</v>
      </c>
      <c r="I73">
        <f>((tasks_table[[#This Row],[Prompt Verbosity ('#tokens)]]/1000000)*1.25) + ((tasks_table[[#This Row],[Response Verbosity ('#tokens)]]/1000000)*10)</f>
        <v>2.7287499999999998E-3</v>
      </c>
    </row>
    <row r="74" spans="2:9" x14ac:dyDescent="0.25">
      <c r="B74" t="s">
        <v>83</v>
      </c>
      <c r="C74" t="s">
        <v>19</v>
      </c>
      <c r="D74" t="s">
        <v>93</v>
      </c>
      <c r="E74">
        <f>AVERAGE('Raw Data (Acc.)'!J75,'Raw Data (Acc.)'!J159)</f>
        <v>94</v>
      </c>
      <c r="F74">
        <v>266</v>
      </c>
      <c r="G74">
        <v>328</v>
      </c>
      <c r="H74">
        <f>tasks_table[[#This Row],[Prompt Verbosity ('#tokens)]]+tasks_table[[#This Row],[Response Verbosity ('#tokens)]]</f>
        <v>594</v>
      </c>
      <c r="I74">
        <f>((tasks_table[[#This Row],[Prompt Verbosity ('#tokens)]]/1000000)*1.25) + ((tasks_table[[#This Row],[Response Verbosity ('#tokens)]]/1000000)*10)</f>
        <v>3.6124999999999998E-3</v>
      </c>
    </row>
    <row r="75" spans="2:9" x14ac:dyDescent="0.25">
      <c r="B75" t="s">
        <v>84</v>
      </c>
      <c r="C75" t="s">
        <v>19</v>
      </c>
      <c r="D75" t="s">
        <v>93</v>
      </c>
      <c r="E75">
        <f>AVERAGE('Raw Data (Acc.)'!J76,'Raw Data (Acc.)'!J160)</f>
        <v>98</v>
      </c>
      <c r="F75">
        <v>542</v>
      </c>
      <c r="G75">
        <v>403</v>
      </c>
      <c r="H75">
        <f>tasks_table[[#This Row],[Prompt Verbosity ('#tokens)]]+tasks_table[[#This Row],[Response Verbosity ('#tokens)]]</f>
        <v>945</v>
      </c>
      <c r="I75">
        <f>((tasks_table[[#This Row],[Prompt Verbosity ('#tokens)]]/1000000)*1.25) + ((tasks_table[[#This Row],[Response Verbosity ('#tokens)]]/1000000)*10)</f>
        <v>4.7074999999999999E-3</v>
      </c>
    </row>
    <row r="76" spans="2:9" x14ac:dyDescent="0.25">
      <c r="B76" t="s">
        <v>85</v>
      </c>
      <c r="C76" t="s">
        <v>19</v>
      </c>
      <c r="D76" t="s">
        <v>93</v>
      </c>
      <c r="E76">
        <f>AVERAGE('Raw Data (Acc.)'!J77,'Raw Data (Acc.)'!J161)</f>
        <v>93.5</v>
      </c>
      <c r="F76">
        <v>640</v>
      </c>
      <c r="G76">
        <v>378</v>
      </c>
      <c r="H76">
        <f>tasks_table[[#This Row],[Prompt Verbosity ('#tokens)]]+tasks_table[[#This Row],[Response Verbosity ('#tokens)]]</f>
        <v>1018</v>
      </c>
      <c r="I76">
        <f>((tasks_table[[#This Row],[Prompt Verbosity ('#tokens)]]/1000000)*1.25) + ((tasks_table[[#This Row],[Response Verbosity ('#tokens)]]/1000000)*10)</f>
        <v>4.5800000000000007E-3</v>
      </c>
    </row>
    <row r="77" spans="2:9" x14ac:dyDescent="0.25">
      <c r="B77" t="s">
        <v>86</v>
      </c>
      <c r="C77" t="s">
        <v>19</v>
      </c>
      <c r="D77" t="s">
        <v>93</v>
      </c>
      <c r="E77">
        <f>AVERAGE('Raw Data (Acc.)'!J78,'Raw Data (Acc.)'!J162)</f>
        <v>96.5</v>
      </c>
      <c r="F77">
        <v>339</v>
      </c>
      <c r="G77">
        <v>483</v>
      </c>
      <c r="H77">
        <f>tasks_table[[#This Row],[Prompt Verbosity ('#tokens)]]+tasks_table[[#This Row],[Response Verbosity ('#tokens)]]</f>
        <v>822</v>
      </c>
      <c r="I77">
        <f>((tasks_table[[#This Row],[Prompt Verbosity ('#tokens)]]/1000000)*1.25) + ((tasks_table[[#This Row],[Response Verbosity ('#tokens)]]/1000000)*10)</f>
        <v>5.2537499999999997E-3</v>
      </c>
    </row>
    <row r="78" spans="2:9" x14ac:dyDescent="0.25">
      <c r="B78" t="s">
        <v>87</v>
      </c>
      <c r="C78" t="s">
        <v>19</v>
      </c>
      <c r="D78" t="s">
        <v>93</v>
      </c>
      <c r="E78">
        <f>AVERAGE('Raw Data (Acc.)'!J79,'Raw Data (Acc.)'!J163)</f>
        <v>97</v>
      </c>
      <c r="F78">
        <v>611</v>
      </c>
      <c r="G78">
        <v>360</v>
      </c>
      <c r="H78">
        <f>tasks_table[[#This Row],[Prompt Verbosity ('#tokens)]]+tasks_table[[#This Row],[Response Verbosity ('#tokens)]]</f>
        <v>971</v>
      </c>
      <c r="I78">
        <f>((tasks_table[[#This Row],[Prompt Verbosity ('#tokens)]]/1000000)*1.25) + ((tasks_table[[#This Row],[Response Verbosity ('#tokens)]]/1000000)*10)</f>
        <v>4.3637500000000004E-3</v>
      </c>
    </row>
    <row r="79" spans="2:9" x14ac:dyDescent="0.25">
      <c r="B79" t="s">
        <v>88</v>
      </c>
      <c r="C79" t="s">
        <v>19</v>
      </c>
      <c r="D79" t="s">
        <v>93</v>
      </c>
      <c r="E79">
        <f>AVERAGE('Raw Data (Acc.)'!J80,'Raw Data (Acc.)'!J164)</f>
        <v>96</v>
      </c>
      <c r="F79">
        <v>603</v>
      </c>
      <c r="G79">
        <v>226</v>
      </c>
      <c r="H79">
        <f>tasks_table[[#This Row],[Prompt Verbosity ('#tokens)]]+tasks_table[[#This Row],[Response Verbosity ('#tokens)]]</f>
        <v>829</v>
      </c>
      <c r="I79">
        <f>((tasks_table[[#This Row],[Prompt Verbosity ('#tokens)]]/1000000)*1.25) + ((tasks_table[[#This Row],[Response Verbosity ('#tokens)]]/1000000)*10)</f>
        <v>3.0137499999999999E-3</v>
      </c>
    </row>
    <row r="80" spans="2:9" x14ac:dyDescent="0.25">
      <c r="B80" t="s">
        <v>89</v>
      </c>
      <c r="C80" t="s">
        <v>19</v>
      </c>
      <c r="D80" t="s">
        <v>93</v>
      </c>
      <c r="E80">
        <f>AVERAGE('Raw Data (Acc.)'!J81,'Raw Data (Acc.)'!J165)</f>
        <v>99</v>
      </c>
      <c r="F80">
        <v>725</v>
      </c>
      <c r="G80">
        <v>281</v>
      </c>
      <c r="H80">
        <f>tasks_table[[#This Row],[Prompt Verbosity ('#tokens)]]+tasks_table[[#This Row],[Response Verbosity ('#tokens)]]</f>
        <v>1006</v>
      </c>
      <c r="I80">
        <f>((tasks_table[[#This Row],[Prompt Verbosity ('#tokens)]]/1000000)*1.25) + ((tasks_table[[#This Row],[Response Verbosity ('#tokens)]]/1000000)*10)</f>
        <v>3.7162499999999999E-3</v>
      </c>
    </row>
    <row r="81" spans="2:9" x14ac:dyDescent="0.25">
      <c r="B81" t="s">
        <v>90</v>
      </c>
      <c r="C81" t="s">
        <v>19</v>
      </c>
      <c r="D81" t="s">
        <v>93</v>
      </c>
      <c r="E81">
        <f>AVERAGE('Raw Data (Acc.)'!J82,'Raw Data (Acc.)'!J166)</f>
        <v>97</v>
      </c>
      <c r="F81">
        <v>663</v>
      </c>
      <c r="G81">
        <v>566</v>
      </c>
      <c r="H81">
        <f>tasks_table[[#This Row],[Prompt Verbosity ('#tokens)]]+tasks_table[[#This Row],[Response Verbosity ('#tokens)]]</f>
        <v>1229</v>
      </c>
      <c r="I81">
        <f>((tasks_table[[#This Row],[Prompt Verbosity ('#tokens)]]/1000000)*1.25) + ((tasks_table[[#This Row],[Response Verbosity ('#tokens)]]/1000000)*10)</f>
        <v>6.4887499999999997E-3</v>
      </c>
    </row>
    <row r="82" spans="2:9" x14ac:dyDescent="0.25">
      <c r="B82" t="s">
        <v>91</v>
      </c>
      <c r="C82" t="s">
        <v>19</v>
      </c>
      <c r="D82" t="s">
        <v>93</v>
      </c>
      <c r="E82">
        <f>AVERAGE('Raw Data (Acc.)'!J83,'Raw Data (Acc.)'!J167)</f>
        <v>93</v>
      </c>
      <c r="F82">
        <v>638</v>
      </c>
      <c r="G82">
        <v>471</v>
      </c>
      <c r="H82">
        <f>tasks_table[[#This Row],[Prompt Verbosity ('#tokens)]]+tasks_table[[#This Row],[Response Verbosity ('#tokens)]]</f>
        <v>1109</v>
      </c>
      <c r="I82">
        <f>((tasks_table[[#This Row],[Prompt Verbosity ('#tokens)]]/1000000)*1.25) + ((tasks_table[[#This Row],[Response Verbosity ('#tokens)]]/1000000)*10)</f>
        <v>5.5075000000000002E-3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0627-EAC8-4253-91EF-043AEBB61F6B}">
  <dimension ref="B2:J167"/>
  <sheetViews>
    <sheetView workbookViewId="0">
      <selection activeCell="B2" sqref="B2:J2"/>
    </sheetView>
  </sheetViews>
  <sheetFormatPr defaultRowHeight="15" x14ac:dyDescent="0.25"/>
  <cols>
    <col min="1" max="1" width="40.7109375" customWidth="1"/>
    <col min="2" max="2" width="9.42578125" bestFit="1" customWidth="1"/>
    <col min="3" max="3" width="17.42578125" bestFit="1" customWidth="1"/>
    <col min="4" max="4" width="18.42578125" bestFit="1" customWidth="1"/>
    <col min="5" max="5" width="20.7109375" bestFit="1" customWidth="1"/>
    <col min="6" max="6" width="19.5703125" bestFit="1" customWidth="1"/>
    <col min="7" max="7" width="22.85546875" bestFit="1" customWidth="1"/>
    <col min="8" max="8" width="16.140625" bestFit="1" customWidth="1"/>
    <col min="9" max="9" width="22.5703125" bestFit="1" customWidth="1"/>
    <col min="10" max="10" width="17.5703125" bestFit="1" customWidth="1"/>
    <col min="11" max="11" width="62" customWidth="1"/>
  </cols>
  <sheetData>
    <row r="2" spans="2:10" x14ac:dyDescent="0.25">
      <c r="B2" s="1" t="s">
        <v>101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t="s">
        <v>0</v>
      </c>
      <c r="C3" t="s">
        <v>15</v>
      </c>
      <c r="D3" t="s">
        <v>14</v>
      </c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</row>
    <row r="4" spans="2:10" x14ac:dyDescent="0.25">
      <c r="B4" t="s">
        <v>5</v>
      </c>
      <c r="C4" t="s">
        <v>17</v>
      </c>
      <c r="D4" t="s">
        <v>92</v>
      </c>
      <c r="E4">
        <v>5</v>
      </c>
      <c r="F4">
        <v>2</v>
      </c>
      <c r="G4">
        <v>4</v>
      </c>
      <c r="H4">
        <v>4</v>
      </c>
      <c r="I4">
        <v>4</v>
      </c>
      <c r="J4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74.999999999999986</v>
      </c>
    </row>
    <row r="5" spans="2:10" x14ac:dyDescent="0.25">
      <c r="B5" t="s">
        <v>6</v>
      </c>
      <c r="C5" t="s">
        <v>17</v>
      </c>
      <c r="D5" t="s">
        <v>92</v>
      </c>
      <c r="E5">
        <v>5</v>
      </c>
      <c r="F5">
        <v>2</v>
      </c>
      <c r="G5">
        <v>3</v>
      </c>
      <c r="H5">
        <v>4</v>
      </c>
      <c r="I5">
        <v>5</v>
      </c>
      <c r="J5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73.000000000000014</v>
      </c>
    </row>
    <row r="6" spans="2:10" x14ac:dyDescent="0.25">
      <c r="B6" t="s">
        <v>7</v>
      </c>
      <c r="C6" t="s">
        <v>17</v>
      </c>
      <c r="D6" t="s">
        <v>92</v>
      </c>
      <c r="E6">
        <v>5</v>
      </c>
      <c r="F6">
        <v>4</v>
      </c>
      <c r="G6">
        <v>4</v>
      </c>
      <c r="H6">
        <v>4</v>
      </c>
      <c r="I6">
        <v>5</v>
      </c>
      <c r="J6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86.999999999999986</v>
      </c>
    </row>
    <row r="7" spans="2:10" x14ac:dyDescent="0.25">
      <c r="B7" t="s">
        <v>8</v>
      </c>
      <c r="C7" t="s">
        <v>17</v>
      </c>
      <c r="D7" t="s">
        <v>92</v>
      </c>
      <c r="E7">
        <v>5</v>
      </c>
      <c r="F7">
        <v>4</v>
      </c>
      <c r="G7">
        <v>4</v>
      </c>
      <c r="H7">
        <v>5</v>
      </c>
      <c r="I7">
        <v>5</v>
      </c>
      <c r="J7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91</v>
      </c>
    </row>
    <row r="8" spans="2:10" x14ac:dyDescent="0.25">
      <c r="B8" t="s">
        <v>9</v>
      </c>
      <c r="C8" t="s">
        <v>17</v>
      </c>
      <c r="D8" t="s">
        <v>92</v>
      </c>
      <c r="E8">
        <v>5</v>
      </c>
      <c r="F8">
        <v>3</v>
      </c>
      <c r="G8">
        <v>3</v>
      </c>
      <c r="H8">
        <v>4</v>
      </c>
      <c r="I8">
        <v>5</v>
      </c>
      <c r="J8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78.000000000000014</v>
      </c>
    </row>
    <row r="9" spans="2:10" x14ac:dyDescent="0.25">
      <c r="B9" t="s">
        <v>10</v>
      </c>
      <c r="C9" t="s">
        <v>17</v>
      </c>
      <c r="D9" t="s">
        <v>92</v>
      </c>
      <c r="E9">
        <v>5</v>
      </c>
      <c r="F9">
        <v>4</v>
      </c>
      <c r="G9">
        <v>3</v>
      </c>
      <c r="H9">
        <v>4</v>
      </c>
      <c r="I9">
        <v>5</v>
      </c>
      <c r="J9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83.000000000000014</v>
      </c>
    </row>
    <row r="10" spans="2:10" x14ac:dyDescent="0.25">
      <c r="B10" t="s">
        <v>11</v>
      </c>
      <c r="C10" t="s">
        <v>17</v>
      </c>
      <c r="D10" t="s">
        <v>92</v>
      </c>
      <c r="E10">
        <v>5</v>
      </c>
      <c r="F10">
        <v>4</v>
      </c>
      <c r="G10">
        <v>4</v>
      </c>
      <c r="H10">
        <v>5</v>
      </c>
      <c r="I10">
        <v>5</v>
      </c>
      <c r="J10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91</v>
      </c>
    </row>
    <row r="11" spans="2:10" x14ac:dyDescent="0.25">
      <c r="B11" t="s">
        <v>12</v>
      </c>
      <c r="C11" t="s">
        <v>17</v>
      </c>
      <c r="D11" t="s">
        <v>92</v>
      </c>
      <c r="E11">
        <v>5</v>
      </c>
      <c r="F11">
        <v>4</v>
      </c>
      <c r="G11">
        <v>4</v>
      </c>
      <c r="H11">
        <v>5</v>
      </c>
      <c r="I11">
        <v>5</v>
      </c>
      <c r="J11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91</v>
      </c>
    </row>
    <row r="12" spans="2:10" x14ac:dyDescent="0.25">
      <c r="B12" t="s">
        <v>13</v>
      </c>
      <c r="C12" t="s">
        <v>17</v>
      </c>
      <c r="D12" t="s">
        <v>92</v>
      </c>
      <c r="E12">
        <v>5</v>
      </c>
      <c r="F12">
        <v>1</v>
      </c>
      <c r="G12">
        <v>3</v>
      </c>
      <c r="H12">
        <v>5</v>
      </c>
      <c r="I12">
        <v>5</v>
      </c>
      <c r="J12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72</v>
      </c>
    </row>
    <row r="13" spans="2:10" x14ac:dyDescent="0.25">
      <c r="B13" t="s">
        <v>21</v>
      </c>
      <c r="C13" t="s">
        <v>17</v>
      </c>
      <c r="D13" t="s">
        <v>92</v>
      </c>
      <c r="E13">
        <v>5</v>
      </c>
      <c r="F13">
        <v>5</v>
      </c>
      <c r="G13">
        <v>4</v>
      </c>
      <c r="H13">
        <v>5</v>
      </c>
      <c r="I13">
        <v>5</v>
      </c>
      <c r="J13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96</v>
      </c>
    </row>
    <row r="14" spans="2:10" x14ac:dyDescent="0.25">
      <c r="B14" t="s">
        <v>22</v>
      </c>
      <c r="C14" t="s">
        <v>17</v>
      </c>
      <c r="D14" t="s">
        <v>93</v>
      </c>
      <c r="E14">
        <v>5</v>
      </c>
      <c r="F14">
        <v>4</v>
      </c>
      <c r="G14">
        <v>5</v>
      </c>
      <c r="H14">
        <v>5</v>
      </c>
      <c r="I14">
        <v>5</v>
      </c>
      <c r="J14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95</v>
      </c>
    </row>
    <row r="15" spans="2:10" x14ac:dyDescent="0.25">
      <c r="B15" t="s">
        <v>23</v>
      </c>
      <c r="C15" t="s">
        <v>17</v>
      </c>
      <c r="D15" t="s">
        <v>93</v>
      </c>
      <c r="E15">
        <v>5</v>
      </c>
      <c r="F15">
        <v>2</v>
      </c>
      <c r="G15">
        <v>3</v>
      </c>
      <c r="H15">
        <v>4</v>
      </c>
      <c r="I15">
        <v>5</v>
      </c>
      <c r="J15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73.000000000000014</v>
      </c>
    </row>
    <row r="16" spans="2:10" x14ac:dyDescent="0.25">
      <c r="B16" t="s">
        <v>24</v>
      </c>
      <c r="C16" t="s">
        <v>17</v>
      </c>
      <c r="D16" t="s">
        <v>93</v>
      </c>
      <c r="E16">
        <v>5</v>
      </c>
      <c r="F16">
        <v>4</v>
      </c>
      <c r="G16">
        <v>4</v>
      </c>
      <c r="H16">
        <v>4</v>
      </c>
      <c r="I16">
        <v>5</v>
      </c>
      <c r="J16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86.999999999999986</v>
      </c>
    </row>
    <row r="17" spans="2:10" x14ac:dyDescent="0.25">
      <c r="B17" t="s">
        <v>25</v>
      </c>
      <c r="C17" t="s">
        <v>17</v>
      </c>
      <c r="D17" t="s">
        <v>93</v>
      </c>
      <c r="E17">
        <v>5</v>
      </c>
      <c r="F17">
        <v>3</v>
      </c>
      <c r="G17">
        <v>3</v>
      </c>
      <c r="H17">
        <v>5</v>
      </c>
      <c r="I17">
        <v>5</v>
      </c>
      <c r="J17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81.999999999999986</v>
      </c>
    </row>
    <row r="18" spans="2:10" x14ac:dyDescent="0.25">
      <c r="B18" t="s">
        <v>26</v>
      </c>
      <c r="C18" t="s">
        <v>17</v>
      </c>
      <c r="D18" t="s">
        <v>93</v>
      </c>
      <c r="E18">
        <v>5</v>
      </c>
      <c r="F18">
        <v>3</v>
      </c>
      <c r="G18">
        <v>3</v>
      </c>
      <c r="H18">
        <v>4</v>
      </c>
      <c r="I18">
        <v>5</v>
      </c>
      <c r="J18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78.000000000000014</v>
      </c>
    </row>
    <row r="19" spans="2:10" x14ac:dyDescent="0.25">
      <c r="B19" t="s">
        <v>27</v>
      </c>
      <c r="C19" t="s">
        <v>17</v>
      </c>
      <c r="D19" t="s">
        <v>93</v>
      </c>
      <c r="E19">
        <v>5</v>
      </c>
      <c r="F19">
        <v>1</v>
      </c>
      <c r="G19">
        <v>1</v>
      </c>
      <c r="H19">
        <v>3</v>
      </c>
      <c r="I19">
        <v>3</v>
      </c>
      <c r="J19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51.999999999999986</v>
      </c>
    </row>
    <row r="20" spans="2:10" x14ac:dyDescent="0.25">
      <c r="B20" t="s">
        <v>28</v>
      </c>
      <c r="C20" t="s">
        <v>17</v>
      </c>
      <c r="D20" t="s">
        <v>93</v>
      </c>
      <c r="E20">
        <v>5</v>
      </c>
      <c r="F20">
        <v>3</v>
      </c>
      <c r="G20">
        <v>4</v>
      </c>
      <c r="H20">
        <v>5</v>
      </c>
      <c r="I20">
        <v>5</v>
      </c>
      <c r="J20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86</v>
      </c>
    </row>
    <row r="21" spans="2:10" x14ac:dyDescent="0.25">
      <c r="B21" t="s">
        <v>29</v>
      </c>
      <c r="C21" t="s">
        <v>17</v>
      </c>
      <c r="D21" t="s">
        <v>93</v>
      </c>
      <c r="E21">
        <v>5</v>
      </c>
      <c r="F21">
        <v>4</v>
      </c>
      <c r="G21">
        <v>5</v>
      </c>
      <c r="H21">
        <v>5</v>
      </c>
      <c r="I21">
        <v>5</v>
      </c>
      <c r="J21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95</v>
      </c>
    </row>
    <row r="22" spans="2:10" x14ac:dyDescent="0.25">
      <c r="B22" t="s">
        <v>30</v>
      </c>
      <c r="C22" t="s">
        <v>17</v>
      </c>
      <c r="D22" t="s">
        <v>93</v>
      </c>
      <c r="E22">
        <v>3</v>
      </c>
      <c r="F22">
        <v>1</v>
      </c>
      <c r="G22">
        <v>3</v>
      </c>
      <c r="H22">
        <v>5</v>
      </c>
      <c r="I22">
        <v>5</v>
      </c>
      <c r="J22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62</v>
      </c>
    </row>
    <row r="23" spans="2:10" x14ac:dyDescent="0.25">
      <c r="B23" t="s">
        <v>31</v>
      </c>
      <c r="C23" t="s">
        <v>17</v>
      </c>
      <c r="D23" t="s">
        <v>93</v>
      </c>
      <c r="E23">
        <v>5</v>
      </c>
      <c r="F23">
        <v>4</v>
      </c>
      <c r="G23">
        <v>4</v>
      </c>
      <c r="H23">
        <v>5</v>
      </c>
      <c r="I23">
        <v>5</v>
      </c>
      <c r="J23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91</v>
      </c>
    </row>
    <row r="24" spans="2:10" x14ac:dyDescent="0.25">
      <c r="B24" t="s">
        <v>32</v>
      </c>
      <c r="C24" t="s">
        <v>19</v>
      </c>
      <c r="D24" t="s">
        <v>92</v>
      </c>
      <c r="E24">
        <v>5</v>
      </c>
      <c r="F24">
        <v>5</v>
      </c>
      <c r="G24">
        <v>5</v>
      </c>
      <c r="H24">
        <v>5</v>
      </c>
      <c r="I24">
        <v>5</v>
      </c>
      <c r="J24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100</v>
      </c>
    </row>
    <row r="25" spans="2:10" x14ac:dyDescent="0.25">
      <c r="B25" t="s">
        <v>33</v>
      </c>
      <c r="C25" t="s">
        <v>19</v>
      </c>
      <c r="D25" t="s">
        <v>92</v>
      </c>
      <c r="E25">
        <v>5</v>
      </c>
      <c r="F25">
        <v>5</v>
      </c>
      <c r="G25">
        <v>4</v>
      </c>
      <c r="H25">
        <v>5</v>
      </c>
      <c r="I25">
        <v>5</v>
      </c>
      <c r="J25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96</v>
      </c>
    </row>
    <row r="26" spans="2:10" x14ac:dyDescent="0.25">
      <c r="B26" t="s">
        <v>34</v>
      </c>
      <c r="C26" t="s">
        <v>19</v>
      </c>
      <c r="D26" t="s">
        <v>92</v>
      </c>
      <c r="E26">
        <v>4</v>
      </c>
      <c r="F26">
        <v>5</v>
      </c>
      <c r="G26">
        <v>4</v>
      </c>
      <c r="H26">
        <v>5</v>
      </c>
      <c r="I26">
        <v>5</v>
      </c>
      <c r="J26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91</v>
      </c>
    </row>
    <row r="27" spans="2:10" x14ac:dyDescent="0.25">
      <c r="B27" t="s">
        <v>35</v>
      </c>
      <c r="C27" t="s">
        <v>19</v>
      </c>
      <c r="D27" t="s">
        <v>92</v>
      </c>
      <c r="E27">
        <v>5</v>
      </c>
      <c r="F27">
        <v>5</v>
      </c>
      <c r="G27">
        <v>5</v>
      </c>
      <c r="H27">
        <v>5</v>
      </c>
      <c r="I27">
        <v>5</v>
      </c>
      <c r="J27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100</v>
      </c>
    </row>
    <row r="28" spans="2:10" x14ac:dyDescent="0.25">
      <c r="B28" t="s">
        <v>36</v>
      </c>
      <c r="C28" t="s">
        <v>19</v>
      </c>
      <c r="D28" t="s">
        <v>92</v>
      </c>
      <c r="E28">
        <v>5</v>
      </c>
      <c r="F28">
        <v>5</v>
      </c>
      <c r="G28">
        <v>5</v>
      </c>
      <c r="H28">
        <v>5</v>
      </c>
      <c r="I28">
        <v>5</v>
      </c>
      <c r="J28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100</v>
      </c>
    </row>
    <row r="29" spans="2:10" x14ac:dyDescent="0.25">
      <c r="B29" t="s">
        <v>37</v>
      </c>
      <c r="C29" t="s">
        <v>19</v>
      </c>
      <c r="D29" t="s">
        <v>92</v>
      </c>
      <c r="E29">
        <v>4</v>
      </c>
      <c r="F29">
        <v>5</v>
      </c>
      <c r="G29">
        <v>5</v>
      </c>
      <c r="H29">
        <v>5</v>
      </c>
      <c r="I29">
        <v>5</v>
      </c>
      <c r="J29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95</v>
      </c>
    </row>
    <row r="30" spans="2:10" x14ac:dyDescent="0.25">
      <c r="B30" t="s">
        <v>38</v>
      </c>
      <c r="C30" t="s">
        <v>19</v>
      </c>
      <c r="D30" t="s">
        <v>92</v>
      </c>
      <c r="E30">
        <v>5</v>
      </c>
      <c r="F30">
        <v>5</v>
      </c>
      <c r="G30">
        <v>5</v>
      </c>
      <c r="H30">
        <v>5</v>
      </c>
      <c r="I30">
        <v>5</v>
      </c>
      <c r="J30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100</v>
      </c>
    </row>
    <row r="31" spans="2:10" x14ac:dyDescent="0.25">
      <c r="B31" t="s">
        <v>39</v>
      </c>
      <c r="C31" t="s">
        <v>19</v>
      </c>
      <c r="D31" t="s">
        <v>92</v>
      </c>
      <c r="E31">
        <v>5</v>
      </c>
      <c r="F31">
        <v>4</v>
      </c>
      <c r="G31">
        <v>5</v>
      </c>
      <c r="H31">
        <v>5</v>
      </c>
      <c r="I31">
        <v>5</v>
      </c>
      <c r="J31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95</v>
      </c>
    </row>
    <row r="32" spans="2:10" x14ac:dyDescent="0.25">
      <c r="B32" t="s">
        <v>40</v>
      </c>
      <c r="C32" t="s">
        <v>19</v>
      </c>
      <c r="D32" t="s">
        <v>92</v>
      </c>
      <c r="E32">
        <v>3</v>
      </c>
      <c r="F32">
        <v>3</v>
      </c>
      <c r="G32">
        <v>4</v>
      </c>
      <c r="H32">
        <v>5</v>
      </c>
      <c r="I32">
        <v>5</v>
      </c>
      <c r="J32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76</v>
      </c>
    </row>
    <row r="33" spans="2:10" x14ac:dyDescent="0.25">
      <c r="B33" t="s">
        <v>41</v>
      </c>
      <c r="C33" t="s">
        <v>19</v>
      </c>
      <c r="D33" t="s">
        <v>92</v>
      </c>
      <c r="E33">
        <v>5</v>
      </c>
      <c r="F33">
        <v>5</v>
      </c>
      <c r="G33">
        <v>5</v>
      </c>
      <c r="H33">
        <v>5</v>
      </c>
      <c r="I33">
        <v>5</v>
      </c>
      <c r="J33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100</v>
      </c>
    </row>
    <row r="34" spans="2:10" x14ac:dyDescent="0.25">
      <c r="B34" t="s">
        <v>42</v>
      </c>
      <c r="C34" t="s">
        <v>19</v>
      </c>
      <c r="D34" t="s">
        <v>93</v>
      </c>
      <c r="E34">
        <v>5</v>
      </c>
      <c r="F34">
        <v>4</v>
      </c>
      <c r="G34">
        <v>4</v>
      </c>
      <c r="H34">
        <v>5</v>
      </c>
      <c r="I34">
        <v>5</v>
      </c>
      <c r="J34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91</v>
      </c>
    </row>
    <row r="35" spans="2:10" x14ac:dyDescent="0.25">
      <c r="B35" t="s">
        <v>43</v>
      </c>
      <c r="C35" t="s">
        <v>19</v>
      </c>
      <c r="D35" t="s">
        <v>93</v>
      </c>
      <c r="E35">
        <v>5</v>
      </c>
      <c r="F35">
        <v>3</v>
      </c>
      <c r="G35">
        <v>4</v>
      </c>
      <c r="H35">
        <v>5</v>
      </c>
      <c r="I35">
        <v>5</v>
      </c>
      <c r="J35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86</v>
      </c>
    </row>
    <row r="36" spans="2:10" x14ac:dyDescent="0.25">
      <c r="B36" t="s">
        <v>44</v>
      </c>
      <c r="C36" t="s">
        <v>19</v>
      </c>
      <c r="D36" t="s">
        <v>93</v>
      </c>
      <c r="E36">
        <v>5</v>
      </c>
      <c r="F36">
        <v>5</v>
      </c>
      <c r="G36">
        <v>5</v>
      </c>
      <c r="H36">
        <v>5</v>
      </c>
      <c r="I36">
        <v>5</v>
      </c>
      <c r="J36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100</v>
      </c>
    </row>
    <row r="37" spans="2:10" x14ac:dyDescent="0.25">
      <c r="B37" t="s">
        <v>45</v>
      </c>
      <c r="C37" t="s">
        <v>19</v>
      </c>
      <c r="D37" t="s">
        <v>93</v>
      </c>
      <c r="E37">
        <v>3</v>
      </c>
      <c r="F37">
        <v>5</v>
      </c>
      <c r="G37">
        <v>5</v>
      </c>
      <c r="H37">
        <v>5</v>
      </c>
      <c r="I37">
        <v>5</v>
      </c>
      <c r="J37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90</v>
      </c>
    </row>
    <row r="38" spans="2:10" x14ac:dyDescent="0.25">
      <c r="B38" t="s">
        <v>46</v>
      </c>
      <c r="C38" t="s">
        <v>19</v>
      </c>
      <c r="D38" t="s">
        <v>93</v>
      </c>
      <c r="E38">
        <v>5</v>
      </c>
      <c r="F38">
        <v>5</v>
      </c>
      <c r="G38">
        <v>5</v>
      </c>
      <c r="H38">
        <v>5</v>
      </c>
      <c r="I38">
        <v>5</v>
      </c>
      <c r="J38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100</v>
      </c>
    </row>
    <row r="39" spans="2:10" x14ac:dyDescent="0.25">
      <c r="B39" t="s">
        <v>47</v>
      </c>
      <c r="C39" t="s">
        <v>19</v>
      </c>
      <c r="D39" t="s">
        <v>93</v>
      </c>
      <c r="E39">
        <v>4</v>
      </c>
      <c r="F39">
        <v>5</v>
      </c>
      <c r="G39">
        <v>5</v>
      </c>
      <c r="H39">
        <v>5</v>
      </c>
      <c r="I39">
        <v>5</v>
      </c>
      <c r="J39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95</v>
      </c>
    </row>
    <row r="40" spans="2:10" x14ac:dyDescent="0.25">
      <c r="B40" t="s">
        <v>48</v>
      </c>
      <c r="C40" t="s">
        <v>19</v>
      </c>
      <c r="D40" t="s">
        <v>93</v>
      </c>
      <c r="E40">
        <v>5</v>
      </c>
      <c r="F40">
        <v>5</v>
      </c>
      <c r="G40">
        <v>5</v>
      </c>
      <c r="H40">
        <v>5</v>
      </c>
      <c r="I40">
        <v>5</v>
      </c>
      <c r="J40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100</v>
      </c>
    </row>
    <row r="41" spans="2:10" x14ac:dyDescent="0.25">
      <c r="B41" t="s">
        <v>49</v>
      </c>
      <c r="C41" t="s">
        <v>19</v>
      </c>
      <c r="D41" t="s">
        <v>93</v>
      </c>
      <c r="E41">
        <v>5</v>
      </c>
      <c r="F41">
        <v>5</v>
      </c>
      <c r="G41">
        <v>5</v>
      </c>
      <c r="H41">
        <v>5</v>
      </c>
      <c r="I41">
        <v>5</v>
      </c>
      <c r="J41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100</v>
      </c>
    </row>
    <row r="42" spans="2:10" x14ac:dyDescent="0.25">
      <c r="B42" t="s">
        <v>50</v>
      </c>
      <c r="C42" t="s">
        <v>19</v>
      </c>
      <c r="D42" t="s">
        <v>93</v>
      </c>
      <c r="E42">
        <v>3</v>
      </c>
      <c r="F42">
        <v>5</v>
      </c>
      <c r="G42">
        <v>5</v>
      </c>
      <c r="H42">
        <v>5</v>
      </c>
      <c r="I42">
        <v>5</v>
      </c>
      <c r="J42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90</v>
      </c>
    </row>
    <row r="43" spans="2:10" x14ac:dyDescent="0.25">
      <c r="B43" t="s">
        <v>51</v>
      </c>
      <c r="C43" t="s">
        <v>19</v>
      </c>
      <c r="D43" t="s">
        <v>93</v>
      </c>
      <c r="E43">
        <v>5</v>
      </c>
      <c r="F43">
        <v>4</v>
      </c>
      <c r="G43">
        <v>3</v>
      </c>
      <c r="H43">
        <v>5</v>
      </c>
      <c r="I43">
        <v>5</v>
      </c>
      <c r="J43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86.999999999999986</v>
      </c>
    </row>
    <row r="44" spans="2:10" x14ac:dyDescent="0.25">
      <c r="B44" t="s">
        <v>52</v>
      </c>
      <c r="C44" t="s">
        <v>17</v>
      </c>
      <c r="D44" t="s">
        <v>92</v>
      </c>
      <c r="E44">
        <v>4</v>
      </c>
      <c r="F44">
        <v>4</v>
      </c>
      <c r="G44">
        <v>5</v>
      </c>
      <c r="H44">
        <v>5</v>
      </c>
      <c r="I44">
        <v>5</v>
      </c>
      <c r="J44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90</v>
      </c>
    </row>
    <row r="45" spans="2:10" x14ac:dyDescent="0.25">
      <c r="B45" t="s">
        <v>53</v>
      </c>
      <c r="C45" t="s">
        <v>17</v>
      </c>
      <c r="D45" t="s">
        <v>92</v>
      </c>
      <c r="E45">
        <v>5</v>
      </c>
      <c r="F45">
        <v>4</v>
      </c>
      <c r="G45">
        <v>5</v>
      </c>
      <c r="H45">
        <v>5</v>
      </c>
      <c r="I45">
        <v>5</v>
      </c>
      <c r="J45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95</v>
      </c>
    </row>
    <row r="46" spans="2:10" x14ac:dyDescent="0.25">
      <c r="B46" t="s">
        <v>54</v>
      </c>
      <c r="C46" t="s">
        <v>17</v>
      </c>
      <c r="D46" t="s">
        <v>92</v>
      </c>
      <c r="E46">
        <v>5</v>
      </c>
      <c r="F46">
        <v>3</v>
      </c>
      <c r="G46">
        <v>4</v>
      </c>
      <c r="H46">
        <v>5</v>
      </c>
      <c r="I46">
        <v>5</v>
      </c>
      <c r="J46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86</v>
      </c>
    </row>
    <row r="47" spans="2:10" x14ac:dyDescent="0.25">
      <c r="B47" t="s">
        <v>55</v>
      </c>
      <c r="C47" t="s">
        <v>17</v>
      </c>
      <c r="D47" t="s">
        <v>92</v>
      </c>
      <c r="E47">
        <v>5</v>
      </c>
      <c r="F47">
        <v>4</v>
      </c>
      <c r="G47">
        <v>4</v>
      </c>
      <c r="H47">
        <v>5</v>
      </c>
      <c r="I47">
        <v>5</v>
      </c>
      <c r="J47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91</v>
      </c>
    </row>
    <row r="48" spans="2:10" x14ac:dyDescent="0.25">
      <c r="B48" t="s">
        <v>56</v>
      </c>
      <c r="C48" t="s">
        <v>17</v>
      </c>
      <c r="D48" t="s">
        <v>92</v>
      </c>
      <c r="E48">
        <v>5</v>
      </c>
      <c r="F48">
        <v>4</v>
      </c>
      <c r="G48">
        <v>5</v>
      </c>
      <c r="H48">
        <v>5</v>
      </c>
      <c r="I48">
        <v>5</v>
      </c>
      <c r="J48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95</v>
      </c>
    </row>
    <row r="49" spans="2:10" x14ac:dyDescent="0.25">
      <c r="B49" t="s">
        <v>57</v>
      </c>
      <c r="C49" t="s">
        <v>17</v>
      </c>
      <c r="D49" t="s">
        <v>92</v>
      </c>
      <c r="E49">
        <v>5</v>
      </c>
      <c r="F49">
        <v>3</v>
      </c>
      <c r="G49">
        <v>4</v>
      </c>
      <c r="H49">
        <v>5</v>
      </c>
      <c r="I49">
        <v>5</v>
      </c>
      <c r="J49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86</v>
      </c>
    </row>
    <row r="50" spans="2:10" x14ac:dyDescent="0.25">
      <c r="B50" t="s">
        <v>58</v>
      </c>
      <c r="C50" t="s">
        <v>17</v>
      </c>
      <c r="D50" t="s">
        <v>92</v>
      </c>
      <c r="E50">
        <v>5</v>
      </c>
      <c r="F50">
        <v>4</v>
      </c>
      <c r="G50">
        <v>4</v>
      </c>
      <c r="H50">
        <v>5</v>
      </c>
      <c r="I50">
        <v>5</v>
      </c>
      <c r="J50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91</v>
      </c>
    </row>
    <row r="51" spans="2:10" x14ac:dyDescent="0.25">
      <c r="B51" t="s">
        <v>59</v>
      </c>
      <c r="C51" t="s">
        <v>17</v>
      </c>
      <c r="D51" t="s">
        <v>92</v>
      </c>
      <c r="E51">
        <v>5</v>
      </c>
      <c r="F51">
        <v>5</v>
      </c>
      <c r="G51">
        <v>4</v>
      </c>
      <c r="H51">
        <v>5</v>
      </c>
      <c r="I51">
        <v>5</v>
      </c>
      <c r="J51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96</v>
      </c>
    </row>
    <row r="52" spans="2:10" x14ac:dyDescent="0.25">
      <c r="B52" t="s">
        <v>60</v>
      </c>
      <c r="C52" t="s">
        <v>17</v>
      </c>
      <c r="D52" t="s">
        <v>92</v>
      </c>
      <c r="E52">
        <v>5</v>
      </c>
      <c r="F52">
        <v>4</v>
      </c>
      <c r="G52">
        <v>4</v>
      </c>
      <c r="H52">
        <v>5</v>
      </c>
      <c r="I52">
        <v>5</v>
      </c>
      <c r="J52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91</v>
      </c>
    </row>
    <row r="53" spans="2:10" x14ac:dyDescent="0.25">
      <c r="B53" t="s">
        <v>61</v>
      </c>
      <c r="C53" t="s">
        <v>17</v>
      </c>
      <c r="D53" t="s">
        <v>92</v>
      </c>
      <c r="E53">
        <v>5</v>
      </c>
      <c r="F53">
        <v>4</v>
      </c>
      <c r="G53">
        <v>4</v>
      </c>
      <c r="H53">
        <v>5</v>
      </c>
      <c r="I53">
        <v>5</v>
      </c>
      <c r="J53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91</v>
      </c>
    </row>
    <row r="54" spans="2:10" x14ac:dyDescent="0.25">
      <c r="B54" t="s">
        <v>62</v>
      </c>
      <c r="C54" t="s">
        <v>17</v>
      </c>
      <c r="D54" t="s">
        <v>93</v>
      </c>
      <c r="E54">
        <v>4</v>
      </c>
      <c r="F54">
        <v>2</v>
      </c>
      <c r="G54">
        <v>4</v>
      </c>
      <c r="H54">
        <v>5</v>
      </c>
      <c r="I54">
        <v>5</v>
      </c>
      <c r="J54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76</v>
      </c>
    </row>
    <row r="55" spans="2:10" x14ac:dyDescent="0.25">
      <c r="B55" t="s">
        <v>63</v>
      </c>
      <c r="C55" t="s">
        <v>17</v>
      </c>
      <c r="D55" t="s">
        <v>93</v>
      </c>
      <c r="E55">
        <v>5</v>
      </c>
      <c r="F55">
        <v>5</v>
      </c>
      <c r="G55">
        <v>4</v>
      </c>
      <c r="H55">
        <v>5</v>
      </c>
      <c r="I55">
        <v>5</v>
      </c>
      <c r="J55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96</v>
      </c>
    </row>
    <row r="56" spans="2:10" x14ac:dyDescent="0.25">
      <c r="B56" t="s">
        <v>64</v>
      </c>
      <c r="C56" t="s">
        <v>17</v>
      </c>
      <c r="D56" t="s">
        <v>93</v>
      </c>
      <c r="E56">
        <v>5</v>
      </c>
      <c r="F56">
        <v>4</v>
      </c>
      <c r="G56">
        <v>5</v>
      </c>
      <c r="H56">
        <v>5</v>
      </c>
      <c r="I56">
        <v>5</v>
      </c>
      <c r="J56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95</v>
      </c>
    </row>
    <row r="57" spans="2:10" x14ac:dyDescent="0.25">
      <c r="B57" t="s">
        <v>65</v>
      </c>
      <c r="C57" t="s">
        <v>17</v>
      </c>
      <c r="D57" t="s">
        <v>93</v>
      </c>
      <c r="E57">
        <v>5</v>
      </c>
      <c r="F57">
        <v>1</v>
      </c>
      <c r="G57">
        <v>4</v>
      </c>
      <c r="H57">
        <v>5</v>
      </c>
      <c r="I57">
        <v>5</v>
      </c>
      <c r="J57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76</v>
      </c>
    </row>
    <row r="58" spans="2:10" x14ac:dyDescent="0.25">
      <c r="B58" t="s">
        <v>66</v>
      </c>
      <c r="C58" t="s">
        <v>17</v>
      </c>
      <c r="D58" t="s">
        <v>93</v>
      </c>
      <c r="E58">
        <v>5</v>
      </c>
      <c r="F58">
        <v>4</v>
      </c>
      <c r="G58">
        <v>4</v>
      </c>
      <c r="H58">
        <v>5</v>
      </c>
      <c r="I58">
        <v>5</v>
      </c>
      <c r="J58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91</v>
      </c>
    </row>
    <row r="59" spans="2:10" x14ac:dyDescent="0.25">
      <c r="B59" t="s">
        <v>67</v>
      </c>
      <c r="C59" t="s">
        <v>17</v>
      </c>
      <c r="D59" t="s">
        <v>93</v>
      </c>
      <c r="E59">
        <v>5</v>
      </c>
      <c r="F59">
        <v>4</v>
      </c>
      <c r="G59">
        <v>4</v>
      </c>
      <c r="H59">
        <v>5</v>
      </c>
      <c r="I59">
        <v>5</v>
      </c>
      <c r="J59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91</v>
      </c>
    </row>
    <row r="60" spans="2:10" x14ac:dyDescent="0.25">
      <c r="B60" t="s">
        <v>68</v>
      </c>
      <c r="C60" t="s">
        <v>17</v>
      </c>
      <c r="D60" t="s">
        <v>93</v>
      </c>
      <c r="E60">
        <v>5</v>
      </c>
      <c r="F60">
        <v>4</v>
      </c>
      <c r="G60">
        <v>3</v>
      </c>
      <c r="H60">
        <v>5</v>
      </c>
      <c r="I60">
        <v>5</v>
      </c>
      <c r="J60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86.999999999999986</v>
      </c>
    </row>
    <row r="61" spans="2:10" x14ac:dyDescent="0.25">
      <c r="B61" t="s">
        <v>69</v>
      </c>
      <c r="C61" t="s">
        <v>17</v>
      </c>
      <c r="D61" t="s">
        <v>93</v>
      </c>
      <c r="E61">
        <v>5</v>
      </c>
      <c r="F61">
        <v>1</v>
      </c>
      <c r="G61">
        <v>3</v>
      </c>
      <c r="H61">
        <v>5</v>
      </c>
      <c r="I61">
        <v>5</v>
      </c>
      <c r="J61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72</v>
      </c>
    </row>
    <row r="62" spans="2:10" x14ac:dyDescent="0.25">
      <c r="B62" t="s">
        <v>70</v>
      </c>
      <c r="C62" t="s">
        <v>17</v>
      </c>
      <c r="D62" t="s">
        <v>93</v>
      </c>
      <c r="E62">
        <v>5</v>
      </c>
      <c r="F62">
        <v>4</v>
      </c>
      <c r="G62">
        <v>4</v>
      </c>
      <c r="H62">
        <v>5</v>
      </c>
      <c r="I62">
        <v>5</v>
      </c>
      <c r="J62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91</v>
      </c>
    </row>
    <row r="63" spans="2:10" x14ac:dyDescent="0.25">
      <c r="B63" t="s">
        <v>71</v>
      </c>
      <c r="C63" t="s">
        <v>17</v>
      </c>
      <c r="D63" t="s">
        <v>93</v>
      </c>
      <c r="E63">
        <v>5</v>
      </c>
      <c r="F63">
        <v>5</v>
      </c>
      <c r="G63">
        <v>4</v>
      </c>
      <c r="H63">
        <v>5</v>
      </c>
      <c r="I63">
        <v>5</v>
      </c>
      <c r="J63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96</v>
      </c>
    </row>
    <row r="64" spans="2:10" x14ac:dyDescent="0.25">
      <c r="B64" t="s">
        <v>72</v>
      </c>
      <c r="C64" t="s">
        <v>19</v>
      </c>
      <c r="D64" t="s">
        <v>92</v>
      </c>
      <c r="E64">
        <v>5</v>
      </c>
      <c r="F64">
        <v>5</v>
      </c>
      <c r="G64">
        <v>5</v>
      </c>
      <c r="H64">
        <v>5</v>
      </c>
      <c r="I64">
        <v>5</v>
      </c>
      <c r="J64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100</v>
      </c>
    </row>
    <row r="65" spans="2:10" x14ac:dyDescent="0.25">
      <c r="B65" t="s">
        <v>73</v>
      </c>
      <c r="C65" t="s">
        <v>19</v>
      </c>
      <c r="D65" t="s">
        <v>92</v>
      </c>
      <c r="E65">
        <v>5</v>
      </c>
      <c r="F65">
        <v>5</v>
      </c>
      <c r="G65">
        <v>4</v>
      </c>
      <c r="H65">
        <v>5</v>
      </c>
      <c r="I65">
        <v>5</v>
      </c>
      <c r="J65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96</v>
      </c>
    </row>
    <row r="66" spans="2:10" x14ac:dyDescent="0.25">
      <c r="B66" t="s">
        <v>74</v>
      </c>
      <c r="C66" t="s">
        <v>19</v>
      </c>
      <c r="D66" t="s">
        <v>92</v>
      </c>
      <c r="E66">
        <v>5</v>
      </c>
      <c r="F66">
        <v>5</v>
      </c>
      <c r="G66">
        <v>5</v>
      </c>
      <c r="H66">
        <v>5</v>
      </c>
      <c r="I66">
        <v>5</v>
      </c>
      <c r="J66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100</v>
      </c>
    </row>
    <row r="67" spans="2:10" x14ac:dyDescent="0.25">
      <c r="B67" t="s">
        <v>75</v>
      </c>
      <c r="C67" t="s">
        <v>19</v>
      </c>
      <c r="D67" t="s">
        <v>92</v>
      </c>
      <c r="E67">
        <v>5</v>
      </c>
      <c r="F67">
        <v>5</v>
      </c>
      <c r="G67">
        <v>5</v>
      </c>
      <c r="H67">
        <v>5</v>
      </c>
      <c r="I67">
        <v>5</v>
      </c>
      <c r="J67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100</v>
      </c>
    </row>
    <row r="68" spans="2:10" x14ac:dyDescent="0.25">
      <c r="B68" t="s">
        <v>76</v>
      </c>
      <c r="C68" t="s">
        <v>19</v>
      </c>
      <c r="D68" t="s">
        <v>92</v>
      </c>
      <c r="E68">
        <v>5</v>
      </c>
      <c r="F68">
        <v>5</v>
      </c>
      <c r="G68">
        <v>4</v>
      </c>
      <c r="H68">
        <v>5</v>
      </c>
      <c r="I68">
        <v>5</v>
      </c>
      <c r="J68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96</v>
      </c>
    </row>
    <row r="69" spans="2:10" x14ac:dyDescent="0.25">
      <c r="B69" t="s">
        <v>77</v>
      </c>
      <c r="C69" t="s">
        <v>19</v>
      </c>
      <c r="D69" t="s">
        <v>92</v>
      </c>
      <c r="E69">
        <v>5</v>
      </c>
      <c r="F69">
        <v>5</v>
      </c>
      <c r="G69">
        <v>5</v>
      </c>
      <c r="H69">
        <v>5</v>
      </c>
      <c r="I69">
        <v>5</v>
      </c>
      <c r="J69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100</v>
      </c>
    </row>
    <row r="70" spans="2:10" x14ac:dyDescent="0.25">
      <c r="B70" t="s">
        <v>78</v>
      </c>
      <c r="C70" t="s">
        <v>19</v>
      </c>
      <c r="D70" t="s">
        <v>92</v>
      </c>
      <c r="E70">
        <v>5</v>
      </c>
      <c r="F70">
        <v>5</v>
      </c>
      <c r="G70">
        <v>5</v>
      </c>
      <c r="H70">
        <v>5</v>
      </c>
      <c r="I70">
        <v>5</v>
      </c>
      <c r="J70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100</v>
      </c>
    </row>
    <row r="71" spans="2:10" x14ac:dyDescent="0.25">
      <c r="B71" t="s">
        <v>79</v>
      </c>
      <c r="C71" t="s">
        <v>19</v>
      </c>
      <c r="D71" t="s">
        <v>92</v>
      </c>
      <c r="E71">
        <v>5</v>
      </c>
      <c r="F71">
        <v>5</v>
      </c>
      <c r="G71">
        <v>5</v>
      </c>
      <c r="H71">
        <v>5</v>
      </c>
      <c r="I71">
        <v>5</v>
      </c>
      <c r="J71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100</v>
      </c>
    </row>
    <row r="72" spans="2:10" x14ac:dyDescent="0.25">
      <c r="B72" t="s">
        <v>80</v>
      </c>
      <c r="C72" t="s">
        <v>19</v>
      </c>
      <c r="D72" t="s">
        <v>92</v>
      </c>
      <c r="E72">
        <v>5</v>
      </c>
      <c r="F72">
        <v>5</v>
      </c>
      <c r="G72">
        <v>5</v>
      </c>
      <c r="H72">
        <v>5</v>
      </c>
      <c r="I72">
        <v>5</v>
      </c>
      <c r="J72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100</v>
      </c>
    </row>
    <row r="73" spans="2:10" x14ac:dyDescent="0.25">
      <c r="B73" t="s">
        <v>81</v>
      </c>
      <c r="C73" t="s">
        <v>19</v>
      </c>
      <c r="D73" t="s">
        <v>92</v>
      </c>
      <c r="E73">
        <v>3</v>
      </c>
      <c r="F73">
        <v>5</v>
      </c>
      <c r="G73">
        <v>5</v>
      </c>
      <c r="H73">
        <v>5</v>
      </c>
      <c r="I73">
        <v>5</v>
      </c>
      <c r="J73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90</v>
      </c>
    </row>
    <row r="74" spans="2:10" x14ac:dyDescent="0.25">
      <c r="B74" t="s">
        <v>82</v>
      </c>
      <c r="C74" t="s">
        <v>19</v>
      </c>
      <c r="D74" t="s">
        <v>93</v>
      </c>
      <c r="E74">
        <v>4</v>
      </c>
      <c r="F74">
        <v>4</v>
      </c>
      <c r="G74">
        <v>5</v>
      </c>
      <c r="H74">
        <v>5</v>
      </c>
      <c r="I74">
        <v>5</v>
      </c>
      <c r="J74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90</v>
      </c>
    </row>
    <row r="75" spans="2:10" x14ac:dyDescent="0.25">
      <c r="B75" t="s">
        <v>83</v>
      </c>
      <c r="C75" t="s">
        <v>19</v>
      </c>
      <c r="D75" t="s">
        <v>93</v>
      </c>
      <c r="E75">
        <v>4</v>
      </c>
      <c r="F75">
        <v>5</v>
      </c>
      <c r="G75">
        <v>5</v>
      </c>
      <c r="H75">
        <v>5</v>
      </c>
      <c r="I75">
        <v>4</v>
      </c>
      <c r="J75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93.000000000000014</v>
      </c>
    </row>
    <row r="76" spans="2:10" x14ac:dyDescent="0.25">
      <c r="B76" t="s">
        <v>84</v>
      </c>
      <c r="C76" t="s">
        <v>19</v>
      </c>
      <c r="D76" t="s">
        <v>93</v>
      </c>
      <c r="E76">
        <v>5</v>
      </c>
      <c r="F76">
        <v>5</v>
      </c>
      <c r="G76">
        <v>5</v>
      </c>
      <c r="H76">
        <v>5</v>
      </c>
      <c r="I76">
        <v>5</v>
      </c>
      <c r="J76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100</v>
      </c>
    </row>
    <row r="77" spans="2:10" x14ac:dyDescent="0.25">
      <c r="B77" t="s">
        <v>85</v>
      </c>
      <c r="C77" t="s">
        <v>19</v>
      </c>
      <c r="D77" t="s">
        <v>93</v>
      </c>
      <c r="E77">
        <v>5</v>
      </c>
      <c r="F77">
        <v>5</v>
      </c>
      <c r="G77">
        <v>4</v>
      </c>
      <c r="H77">
        <v>5</v>
      </c>
      <c r="I77">
        <v>5</v>
      </c>
      <c r="J77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96</v>
      </c>
    </row>
    <row r="78" spans="2:10" x14ac:dyDescent="0.25">
      <c r="B78" t="s">
        <v>86</v>
      </c>
      <c r="C78" t="s">
        <v>19</v>
      </c>
      <c r="D78" t="s">
        <v>93</v>
      </c>
      <c r="E78">
        <v>5</v>
      </c>
      <c r="F78">
        <v>5</v>
      </c>
      <c r="G78">
        <v>5</v>
      </c>
      <c r="H78">
        <v>5</v>
      </c>
      <c r="I78">
        <v>5</v>
      </c>
      <c r="J78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100</v>
      </c>
    </row>
    <row r="79" spans="2:10" x14ac:dyDescent="0.25">
      <c r="B79" t="s">
        <v>87</v>
      </c>
      <c r="C79" t="s">
        <v>19</v>
      </c>
      <c r="D79" t="s">
        <v>93</v>
      </c>
      <c r="E79">
        <v>5</v>
      </c>
      <c r="F79">
        <v>5</v>
      </c>
      <c r="G79">
        <v>5</v>
      </c>
      <c r="H79">
        <v>5</v>
      </c>
      <c r="I79">
        <v>5</v>
      </c>
      <c r="J79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100</v>
      </c>
    </row>
    <row r="80" spans="2:10" x14ac:dyDescent="0.25">
      <c r="B80" t="s">
        <v>88</v>
      </c>
      <c r="C80" t="s">
        <v>19</v>
      </c>
      <c r="D80" t="s">
        <v>93</v>
      </c>
      <c r="E80">
        <v>5</v>
      </c>
      <c r="F80">
        <v>5</v>
      </c>
      <c r="G80">
        <v>4</v>
      </c>
      <c r="H80">
        <v>5</v>
      </c>
      <c r="I80">
        <v>5</v>
      </c>
      <c r="J80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96</v>
      </c>
    </row>
    <row r="81" spans="2:10" x14ac:dyDescent="0.25">
      <c r="B81" t="s">
        <v>89</v>
      </c>
      <c r="C81" t="s">
        <v>19</v>
      </c>
      <c r="D81" t="s">
        <v>93</v>
      </c>
      <c r="E81">
        <v>5</v>
      </c>
      <c r="F81">
        <v>5</v>
      </c>
      <c r="G81">
        <v>5</v>
      </c>
      <c r="H81">
        <v>5</v>
      </c>
      <c r="I81">
        <v>5</v>
      </c>
      <c r="J81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100</v>
      </c>
    </row>
    <row r="82" spans="2:10" x14ac:dyDescent="0.25">
      <c r="B82" t="s">
        <v>90</v>
      </c>
      <c r="C82" t="s">
        <v>19</v>
      </c>
      <c r="D82" t="s">
        <v>93</v>
      </c>
      <c r="E82">
        <v>5</v>
      </c>
      <c r="F82">
        <v>5</v>
      </c>
      <c r="G82">
        <v>4</v>
      </c>
      <c r="H82">
        <v>5</v>
      </c>
      <c r="I82">
        <v>5</v>
      </c>
      <c r="J82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96</v>
      </c>
    </row>
    <row r="83" spans="2:10" x14ac:dyDescent="0.25">
      <c r="B83" t="s">
        <v>91</v>
      </c>
      <c r="C83" t="s">
        <v>19</v>
      </c>
      <c r="D83" t="s">
        <v>93</v>
      </c>
      <c r="E83">
        <v>3</v>
      </c>
      <c r="F83">
        <v>5</v>
      </c>
      <c r="G83">
        <v>5</v>
      </c>
      <c r="H83">
        <v>5</v>
      </c>
      <c r="I83">
        <v>5</v>
      </c>
      <c r="J83">
        <f>((koorosh_acc_table[[#This Row],[Factual Correctness]]*0.25)+(koorosh_acc_table[[#This Row],[Reasoning Quality]]*0.25)+(koorosh_acc_table[[#This Row],[Coherency and Clarity]]*0.2)+(koorosh_acc_table[[#This Row],[Completeness]]*0.2)+(koorosh_acc_table[[#This Row],[Understanding Depth]]*0.1))*100/5</f>
        <v>90</v>
      </c>
    </row>
    <row r="86" spans="2:10" x14ac:dyDescent="0.25">
      <c r="B86" s="1" t="s">
        <v>102</v>
      </c>
      <c r="C86" s="1"/>
      <c r="D86" s="1"/>
      <c r="E86" s="1"/>
      <c r="F86" s="1"/>
      <c r="G86" s="1"/>
      <c r="H86" s="1"/>
      <c r="I86" s="1"/>
      <c r="J86" s="1"/>
    </row>
    <row r="87" spans="2:10" x14ac:dyDescent="0.25">
      <c r="B87" t="s">
        <v>0</v>
      </c>
      <c r="C87" t="s">
        <v>15</v>
      </c>
      <c r="D87" t="s">
        <v>14</v>
      </c>
      <c r="E87" t="s">
        <v>95</v>
      </c>
      <c r="F87" t="s">
        <v>96</v>
      </c>
      <c r="G87" t="s">
        <v>97</v>
      </c>
      <c r="H87" t="s">
        <v>98</v>
      </c>
      <c r="I87" t="s">
        <v>99</v>
      </c>
      <c r="J87" t="s">
        <v>100</v>
      </c>
    </row>
    <row r="88" spans="2:10" x14ac:dyDescent="0.25">
      <c r="B88" t="s">
        <v>5</v>
      </c>
      <c r="C88" t="s">
        <v>17</v>
      </c>
      <c r="D88" t="s">
        <v>92</v>
      </c>
      <c r="E88">
        <v>5</v>
      </c>
      <c r="F88">
        <v>4</v>
      </c>
      <c r="G88">
        <v>3</v>
      </c>
      <c r="H88">
        <v>4</v>
      </c>
      <c r="I88">
        <v>4</v>
      </c>
      <c r="J88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81.000000000000014</v>
      </c>
    </row>
    <row r="89" spans="2:10" x14ac:dyDescent="0.25">
      <c r="B89" t="s">
        <v>6</v>
      </c>
      <c r="C89" t="s">
        <v>17</v>
      </c>
      <c r="D89" t="s">
        <v>92</v>
      </c>
      <c r="E89">
        <v>5</v>
      </c>
      <c r="F89">
        <v>4</v>
      </c>
      <c r="G89">
        <v>4</v>
      </c>
      <c r="H89">
        <v>3</v>
      </c>
      <c r="I89">
        <v>4</v>
      </c>
      <c r="J89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81</v>
      </c>
    </row>
    <row r="90" spans="2:10" x14ac:dyDescent="0.25">
      <c r="B90" t="s">
        <v>7</v>
      </c>
      <c r="C90" t="s">
        <v>17</v>
      </c>
      <c r="D90" t="s">
        <v>92</v>
      </c>
      <c r="E90">
        <v>5</v>
      </c>
      <c r="F90">
        <v>3</v>
      </c>
      <c r="G90">
        <v>5</v>
      </c>
      <c r="H90">
        <v>4</v>
      </c>
      <c r="I90">
        <v>4</v>
      </c>
      <c r="J90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84</v>
      </c>
    </row>
    <row r="91" spans="2:10" x14ac:dyDescent="0.25">
      <c r="B91" t="s">
        <v>8</v>
      </c>
      <c r="C91" t="s">
        <v>17</v>
      </c>
      <c r="D91" t="s">
        <v>92</v>
      </c>
      <c r="E91">
        <v>4</v>
      </c>
      <c r="F91">
        <v>4</v>
      </c>
      <c r="G91">
        <v>4</v>
      </c>
      <c r="H91">
        <v>4</v>
      </c>
      <c r="I91">
        <v>4</v>
      </c>
      <c r="J91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79.999999999999986</v>
      </c>
    </row>
    <row r="92" spans="2:10" x14ac:dyDescent="0.25">
      <c r="B92" t="s">
        <v>9</v>
      </c>
      <c r="C92" t="s">
        <v>17</v>
      </c>
      <c r="D92" t="s">
        <v>92</v>
      </c>
      <c r="E92">
        <v>4</v>
      </c>
      <c r="F92">
        <v>4</v>
      </c>
      <c r="G92">
        <v>3</v>
      </c>
      <c r="H92">
        <v>4</v>
      </c>
      <c r="I92">
        <v>5</v>
      </c>
      <c r="J92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78.000000000000014</v>
      </c>
    </row>
    <row r="93" spans="2:10" x14ac:dyDescent="0.25">
      <c r="B93" t="s">
        <v>10</v>
      </c>
      <c r="C93" t="s">
        <v>17</v>
      </c>
      <c r="D93" t="s">
        <v>92</v>
      </c>
      <c r="E93">
        <v>4</v>
      </c>
      <c r="F93">
        <v>3</v>
      </c>
      <c r="G93">
        <v>4</v>
      </c>
      <c r="H93">
        <v>4</v>
      </c>
      <c r="I93">
        <v>4</v>
      </c>
      <c r="J93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74.999999999999986</v>
      </c>
    </row>
    <row r="94" spans="2:10" x14ac:dyDescent="0.25">
      <c r="B94" t="s">
        <v>11</v>
      </c>
      <c r="C94" t="s">
        <v>17</v>
      </c>
      <c r="D94" t="s">
        <v>92</v>
      </c>
      <c r="E94">
        <v>4</v>
      </c>
      <c r="F94">
        <v>4</v>
      </c>
      <c r="G94">
        <v>3</v>
      </c>
      <c r="H94">
        <v>4</v>
      </c>
      <c r="I94">
        <v>5</v>
      </c>
      <c r="J94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78.000000000000014</v>
      </c>
    </row>
    <row r="95" spans="2:10" x14ac:dyDescent="0.25">
      <c r="B95" t="s">
        <v>12</v>
      </c>
      <c r="C95" t="s">
        <v>17</v>
      </c>
      <c r="D95" t="s">
        <v>92</v>
      </c>
      <c r="E95">
        <v>5</v>
      </c>
      <c r="F95">
        <v>4</v>
      </c>
      <c r="G95">
        <v>4</v>
      </c>
      <c r="H95">
        <v>3</v>
      </c>
      <c r="I95">
        <v>4</v>
      </c>
      <c r="J95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81</v>
      </c>
    </row>
    <row r="96" spans="2:10" x14ac:dyDescent="0.25">
      <c r="B96" t="s">
        <v>13</v>
      </c>
      <c r="C96" t="s">
        <v>17</v>
      </c>
      <c r="D96" t="s">
        <v>92</v>
      </c>
      <c r="E96">
        <v>4</v>
      </c>
      <c r="F96">
        <v>3</v>
      </c>
      <c r="G96">
        <v>4</v>
      </c>
      <c r="H96">
        <v>4</v>
      </c>
      <c r="I96">
        <v>5</v>
      </c>
      <c r="J96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76.999999999999986</v>
      </c>
    </row>
    <row r="97" spans="2:10" x14ac:dyDescent="0.25">
      <c r="B97" t="s">
        <v>21</v>
      </c>
      <c r="C97" t="s">
        <v>17</v>
      </c>
      <c r="D97" t="s">
        <v>92</v>
      </c>
      <c r="E97">
        <v>5</v>
      </c>
      <c r="F97">
        <v>4</v>
      </c>
      <c r="G97">
        <v>4</v>
      </c>
      <c r="H97">
        <v>3</v>
      </c>
      <c r="I97">
        <v>5</v>
      </c>
      <c r="J97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83.000000000000014</v>
      </c>
    </row>
    <row r="98" spans="2:10" x14ac:dyDescent="0.25">
      <c r="B98" t="s">
        <v>22</v>
      </c>
      <c r="C98" t="s">
        <v>17</v>
      </c>
      <c r="D98" t="s">
        <v>93</v>
      </c>
      <c r="E98">
        <v>5</v>
      </c>
      <c r="F98">
        <v>4</v>
      </c>
      <c r="G98">
        <v>5</v>
      </c>
      <c r="H98">
        <v>5</v>
      </c>
      <c r="I98">
        <v>4</v>
      </c>
      <c r="J98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93.000000000000014</v>
      </c>
    </row>
    <row r="99" spans="2:10" x14ac:dyDescent="0.25">
      <c r="B99" t="s">
        <v>23</v>
      </c>
      <c r="C99" t="s">
        <v>17</v>
      </c>
      <c r="D99" t="s">
        <v>93</v>
      </c>
      <c r="E99">
        <v>5</v>
      </c>
      <c r="F99">
        <v>4</v>
      </c>
      <c r="G99">
        <v>5</v>
      </c>
      <c r="H99">
        <v>4</v>
      </c>
      <c r="I99">
        <v>4</v>
      </c>
      <c r="J99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89</v>
      </c>
    </row>
    <row r="100" spans="2:10" x14ac:dyDescent="0.25">
      <c r="B100" t="s">
        <v>24</v>
      </c>
      <c r="C100" t="s">
        <v>17</v>
      </c>
      <c r="D100" t="s">
        <v>93</v>
      </c>
      <c r="E100">
        <v>5</v>
      </c>
      <c r="F100">
        <v>5</v>
      </c>
      <c r="G100">
        <v>5</v>
      </c>
      <c r="H100">
        <v>5</v>
      </c>
      <c r="I100">
        <v>5</v>
      </c>
      <c r="J100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100</v>
      </c>
    </row>
    <row r="101" spans="2:10" x14ac:dyDescent="0.25">
      <c r="B101" t="s">
        <v>25</v>
      </c>
      <c r="C101" t="s">
        <v>17</v>
      </c>
      <c r="D101" t="s">
        <v>93</v>
      </c>
      <c r="E101">
        <v>5</v>
      </c>
      <c r="F101">
        <v>4</v>
      </c>
      <c r="G101">
        <v>4</v>
      </c>
      <c r="H101">
        <v>3</v>
      </c>
      <c r="I101">
        <v>4</v>
      </c>
      <c r="J101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81</v>
      </c>
    </row>
    <row r="102" spans="2:10" x14ac:dyDescent="0.25">
      <c r="B102" t="s">
        <v>26</v>
      </c>
      <c r="C102" t="s">
        <v>17</v>
      </c>
      <c r="D102" t="s">
        <v>93</v>
      </c>
      <c r="E102">
        <v>5</v>
      </c>
      <c r="F102">
        <v>4</v>
      </c>
      <c r="G102">
        <v>4</v>
      </c>
      <c r="H102">
        <v>4</v>
      </c>
      <c r="I102">
        <v>4</v>
      </c>
      <c r="J102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85</v>
      </c>
    </row>
    <row r="103" spans="2:10" x14ac:dyDescent="0.25">
      <c r="B103" t="s">
        <v>27</v>
      </c>
      <c r="C103" t="s">
        <v>17</v>
      </c>
      <c r="D103" t="s">
        <v>93</v>
      </c>
      <c r="E103">
        <v>5</v>
      </c>
      <c r="F103">
        <v>4</v>
      </c>
      <c r="G103">
        <v>4</v>
      </c>
      <c r="H103">
        <v>4</v>
      </c>
      <c r="I103">
        <v>5</v>
      </c>
      <c r="J103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86.999999999999986</v>
      </c>
    </row>
    <row r="104" spans="2:10" x14ac:dyDescent="0.25">
      <c r="B104" t="s">
        <v>28</v>
      </c>
      <c r="C104" t="s">
        <v>17</v>
      </c>
      <c r="D104" t="s">
        <v>93</v>
      </c>
      <c r="E104">
        <v>5</v>
      </c>
      <c r="F104">
        <v>4</v>
      </c>
      <c r="G104">
        <v>4</v>
      </c>
      <c r="H104">
        <v>4</v>
      </c>
      <c r="I104">
        <v>5</v>
      </c>
      <c r="J104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86.999999999999986</v>
      </c>
    </row>
    <row r="105" spans="2:10" x14ac:dyDescent="0.25">
      <c r="B105" t="s">
        <v>29</v>
      </c>
      <c r="C105" t="s">
        <v>17</v>
      </c>
      <c r="D105" t="s">
        <v>93</v>
      </c>
      <c r="E105">
        <v>4</v>
      </c>
      <c r="F105">
        <v>4</v>
      </c>
      <c r="G105">
        <v>5</v>
      </c>
      <c r="H105">
        <v>4</v>
      </c>
      <c r="I105">
        <v>4</v>
      </c>
      <c r="J105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84</v>
      </c>
    </row>
    <row r="106" spans="2:10" x14ac:dyDescent="0.25">
      <c r="B106" t="s">
        <v>30</v>
      </c>
      <c r="C106" t="s">
        <v>17</v>
      </c>
      <c r="D106" t="s">
        <v>93</v>
      </c>
      <c r="E106">
        <v>4</v>
      </c>
      <c r="F106">
        <v>4</v>
      </c>
      <c r="G106">
        <v>4</v>
      </c>
      <c r="H106">
        <v>4</v>
      </c>
      <c r="I106">
        <v>4</v>
      </c>
      <c r="J106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79.999999999999986</v>
      </c>
    </row>
    <row r="107" spans="2:10" x14ac:dyDescent="0.25">
      <c r="B107" t="s">
        <v>31</v>
      </c>
      <c r="C107" t="s">
        <v>17</v>
      </c>
      <c r="D107" t="s">
        <v>93</v>
      </c>
      <c r="E107">
        <v>5</v>
      </c>
      <c r="F107">
        <v>4</v>
      </c>
      <c r="G107">
        <v>3</v>
      </c>
      <c r="H107">
        <v>5</v>
      </c>
      <c r="I107">
        <v>4</v>
      </c>
      <c r="J107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85</v>
      </c>
    </row>
    <row r="108" spans="2:10" x14ac:dyDescent="0.25">
      <c r="B108" t="s">
        <v>32</v>
      </c>
      <c r="C108" t="s">
        <v>19</v>
      </c>
      <c r="D108" t="s">
        <v>92</v>
      </c>
      <c r="E108">
        <v>5</v>
      </c>
      <c r="F108">
        <v>4</v>
      </c>
      <c r="G108">
        <v>5</v>
      </c>
      <c r="H108">
        <v>5</v>
      </c>
      <c r="I108">
        <v>4</v>
      </c>
      <c r="J108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93.000000000000014</v>
      </c>
    </row>
    <row r="109" spans="2:10" x14ac:dyDescent="0.25">
      <c r="B109" t="s">
        <v>33</v>
      </c>
      <c r="C109" t="s">
        <v>19</v>
      </c>
      <c r="D109" t="s">
        <v>92</v>
      </c>
      <c r="E109">
        <v>5</v>
      </c>
      <c r="F109">
        <v>3</v>
      </c>
      <c r="G109">
        <v>5</v>
      </c>
      <c r="H109">
        <v>4</v>
      </c>
      <c r="I109">
        <v>4</v>
      </c>
      <c r="J109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84</v>
      </c>
    </row>
    <row r="110" spans="2:10" x14ac:dyDescent="0.25">
      <c r="B110" t="s">
        <v>34</v>
      </c>
      <c r="C110" t="s">
        <v>19</v>
      </c>
      <c r="D110" t="s">
        <v>92</v>
      </c>
      <c r="E110">
        <v>5</v>
      </c>
      <c r="F110">
        <v>3</v>
      </c>
      <c r="G110">
        <v>5</v>
      </c>
      <c r="H110">
        <v>4</v>
      </c>
      <c r="I110">
        <v>3</v>
      </c>
      <c r="J110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81.999999999999986</v>
      </c>
    </row>
    <row r="111" spans="2:10" x14ac:dyDescent="0.25">
      <c r="B111" t="s">
        <v>35</v>
      </c>
      <c r="C111" t="s">
        <v>19</v>
      </c>
      <c r="D111" t="s">
        <v>92</v>
      </c>
      <c r="E111">
        <v>5</v>
      </c>
      <c r="F111">
        <v>4</v>
      </c>
      <c r="G111">
        <v>4</v>
      </c>
      <c r="H111">
        <v>5</v>
      </c>
      <c r="I111">
        <v>4</v>
      </c>
      <c r="J111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89</v>
      </c>
    </row>
    <row r="112" spans="2:10" x14ac:dyDescent="0.25">
      <c r="B112" t="s">
        <v>36</v>
      </c>
      <c r="C112" t="s">
        <v>19</v>
      </c>
      <c r="D112" t="s">
        <v>92</v>
      </c>
      <c r="E112">
        <v>5</v>
      </c>
      <c r="F112">
        <v>4</v>
      </c>
      <c r="G112">
        <v>5</v>
      </c>
      <c r="H112">
        <v>5</v>
      </c>
      <c r="I112">
        <v>4</v>
      </c>
      <c r="J112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93.000000000000014</v>
      </c>
    </row>
    <row r="113" spans="2:10" x14ac:dyDescent="0.25">
      <c r="B113" t="s">
        <v>37</v>
      </c>
      <c r="C113" t="s">
        <v>19</v>
      </c>
      <c r="D113" t="s">
        <v>92</v>
      </c>
      <c r="E113">
        <v>5</v>
      </c>
      <c r="F113">
        <v>5</v>
      </c>
      <c r="G113">
        <v>5</v>
      </c>
      <c r="H113">
        <v>5</v>
      </c>
      <c r="I113">
        <v>5</v>
      </c>
      <c r="J113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100</v>
      </c>
    </row>
    <row r="114" spans="2:10" x14ac:dyDescent="0.25">
      <c r="B114" t="s">
        <v>38</v>
      </c>
      <c r="C114" t="s">
        <v>19</v>
      </c>
      <c r="D114" t="s">
        <v>92</v>
      </c>
      <c r="E114">
        <v>5</v>
      </c>
      <c r="F114">
        <v>5</v>
      </c>
      <c r="G114">
        <v>4</v>
      </c>
      <c r="H114">
        <v>5</v>
      </c>
      <c r="I114">
        <v>5</v>
      </c>
      <c r="J114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96</v>
      </c>
    </row>
    <row r="115" spans="2:10" x14ac:dyDescent="0.25">
      <c r="B115" t="s">
        <v>39</v>
      </c>
      <c r="C115" t="s">
        <v>19</v>
      </c>
      <c r="D115" t="s">
        <v>92</v>
      </c>
      <c r="E115">
        <v>5</v>
      </c>
      <c r="F115">
        <v>4</v>
      </c>
      <c r="G115">
        <v>4</v>
      </c>
      <c r="H115">
        <v>4</v>
      </c>
      <c r="I115">
        <v>4</v>
      </c>
      <c r="J115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85</v>
      </c>
    </row>
    <row r="116" spans="2:10" x14ac:dyDescent="0.25">
      <c r="B116" t="s">
        <v>40</v>
      </c>
      <c r="C116" t="s">
        <v>19</v>
      </c>
      <c r="D116" t="s">
        <v>92</v>
      </c>
      <c r="E116">
        <v>5</v>
      </c>
      <c r="F116">
        <v>5</v>
      </c>
      <c r="G116">
        <v>5</v>
      </c>
      <c r="H116">
        <v>5</v>
      </c>
      <c r="I116">
        <v>4</v>
      </c>
      <c r="J116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98.000000000000014</v>
      </c>
    </row>
    <row r="117" spans="2:10" x14ac:dyDescent="0.25">
      <c r="B117" t="s">
        <v>41</v>
      </c>
      <c r="C117" t="s">
        <v>19</v>
      </c>
      <c r="D117" t="s">
        <v>92</v>
      </c>
      <c r="E117">
        <v>4</v>
      </c>
      <c r="F117">
        <v>4</v>
      </c>
      <c r="G117">
        <v>4</v>
      </c>
      <c r="H117">
        <v>5</v>
      </c>
      <c r="I117">
        <v>5</v>
      </c>
      <c r="J117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86</v>
      </c>
    </row>
    <row r="118" spans="2:10" x14ac:dyDescent="0.25">
      <c r="B118" t="s">
        <v>42</v>
      </c>
      <c r="C118" t="s">
        <v>19</v>
      </c>
      <c r="D118" t="s">
        <v>93</v>
      </c>
      <c r="E118">
        <v>5</v>
      </c>
      <c r="F118">
        <v>5</v>
      </c>
      <c r="G118">
        <v>5</v>
      </c>
      <c r="H118">
        <v>5</v>
      </c>
      <c r="I118">
        <v>4</v>
      </c>
      <c r="J118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98.000000000000014</v>
      </c>
    </row>
    <row r="119" spans="2:10" x14ac:dyDescent="0.25">
      <c r="B119" t="s">
        <v>43</v>
      </c>
      <c r="C119" t="s">
        <v>19</v>
      </c>
      <c r="D119" t="s">
        <v>93</v>
      </c>
      <c r="E119">
        <v>5</v>
      </c>
      <c r="F119">
        <v>3</v>
      </c>
      <c r="G119">
        <v>4</v>
      </c>
      <c r="H119">
        <v>3</v>
      </c>
      <c r="I119">
        <v>5</v>
      </c>
      <c r="J119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78</v>
      </c>
    </row>
    <row r="120" spans="2:10" x14ac:dyDescent="0.25">
      <c r="B120" t="s">
        <v>44</v>
      </c>
      <c r="C120" t="s">
        <v>19</v>
      </c>
      <c r="D120" t="s">
        <v>93</v>
      </c>
      <c r="E120">
        <v>5</v>
      </c>
      <c r="F120">
        <v>4</v>
      </c>
      <c r="G120">
        <v>4</v>
      </c>
      <c r="H120">
        <v>4</v>
      </c>
      <c r="I120">
        <v>5</v>
      </c>
      <c r="J120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86.999999999999986</v>
      </c>
    </row>
    <row r="121" spans="2:10" x14ac:dyDescent="0.25">
      <c r="B121" t="s">
        <v>45</v>
      </c>
      <c r="C121" t="s">
        <v>19</v>
      </c>
      <c r="D121" t="s">
        <v>93</v>
      </c>
      <c r="E121">
        <v>5</v>
      </c>
      <c r="F121">
        <v>5</v>
      </c>
      <c r="G121">
        <v>5</v>
      </c>
      <c r="H121">
        <v>5</v>
      </c>
      <c r="I121">
        <v>5</v>
      </c>
      <c r="J121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100</v>
      </c>
    </row>
    <row r="122" spans="2:10" x14ac:dyDescent="0.25">
      <c r="B122" t="s">
        <v>46</v>
      </c>
      <c r="C122" t="s">
        <v>19</v>
      </c>
      <c r="D122" t="s">
        <v>93</v>
      </c>
      <c r="E122">
        <v>5</v>
      </c>
      <c r="F122">
        <v>5</v>
      </c>
      <c r="G122">
        <v>5</v>
      </c>
      <c r="H122">
        <v>5</v>
      </c>
      <c r="I122">
        <v>5</v>
      </c>
      <c r="J122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100</v>
      </c>
    </row>
    <row r="123" spans="2:10" x14ac:dyDescent="0.25">
      <c r="B123" t="s">
        <v>47</v>
      </c>
      <c r="C123" t="s">
        <v>19</v>
      </c>
      <c r="D123" t="s">
        <v>93</v>
      </c>
      <c r="E123">
        <v>4</v>
      </c>
      <c r="F123">
        <v>5</v>
      </c>
      <c r="G123">
        <v>5</v>
      </c>
      <c r="H123">
        <v>4</v>
      </c>
      <c r="I123">
        <v>5</v>
      </c>
      <c r="J123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91</v>
      </c>
    </row>
    <row r="124" spans="2:10" x14ac:dyDescent="0.25">
      <c r="B124" t="s">
        <v>48</v>
      </c>
      <c r="C124" t="s">
        <v>19</v>
      </c>
      <c r="D124" t="s">
        <v>93</v>
      </c>
      <c r="E124">
        <v>5</v>
      </c>
      <c r="F124">
        <v>5</v>
      </c>
      <c r="G124">
        <v>5</v>
      </c>
      <c r="H124">
        <v>5</v>
      </c>
      <c r="I124">
        <v>5</v>
      </c>
      <c r="J124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100</v>
      </c>
    </row>
    <row r="125" spans="2:10" x14ac:dyDescent="0.25">
      <c r="B125" t="s">
        <v>49</v>
      </c>
      <c r="C125" t="s">
        <v>19</v>
      </c>
      <c r="D125" t="s">
        <v>93</v>
      </c>
      <c r="E125">
        <v>5</v>
      </c>
      <c r="F125">
        <v>4</v>
      </c>
      <c r="G125">
        <v>5</v>
      </c>
      <c r="H125">
        <v>4</v>
      </c>
      <c r="I125">
        <v>5</v>
      </c>
      <c r="J125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91</v>
      </c>
    </row>
    <row r="126" spans="2:10" x14ac:dyDescent="0.25">
      <c r="B126" t="s">
        <v>50</v>
      </c>
      <c r="C126" t="s">
        <v>19</v>
      </c>
      <c r="D126" t="s">
        <v>93</v>
      </c>
      <c r="E126">
        <v>5</v>
      </c>
      <c r="F126">
        <v>4</v>
      </c>
      <c r="G126">
        <v>5</v>
      </c>
      <c r="H126">
        <v>5</v>
      </c>
      <c r="I126">
        <v>5</v>
      </c>
      <c r="J126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95</v>
      </c>
    </row>
    <row r="127" spans="2:10" x14ac:dyDescent="0.25">
      <c r="B127" t="s">
        <v>51</v>
      </c>
      <c r="C127" t="s">
        <v>19</v>
      </c>
      <c r="D127" t="s">
        <v>93</v>
      </c>
      <c r="E127">
        <v>5</v>
      </c>
      <c r="F127">
        <v>5</v>
      </c>
      <c r="G127">
        <v>5</v>
      </c>
      <c r="H127">
        <v>5</v>
      </c>
      <c r="I127">
        <v>5</v>
      </c>
      <c r="J127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100</v>
      </c>
    </row>
    <row r="128" spans="2:10" x14ac:dyDescent="0.25">
      <c r="B128" t="s">
        <v>52</v>
      </c>
      <c r="C128" t="s">
        <v>17</v>
      </c>
      <c r="D128" t="s">
        <v>92</v>
      </c>
      <c r="E128">
        <v>4</v>
      </c>
      <c r="F128">
        <v>3</v>
      </c>
      <c r="G128">
        <v>4</v>
      </c>
      <c r="H128">
        <v>4</v>
      </c>
      <c r="I128">
        <v>4</v>
      </c>
      <c r="J128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74.999999999999986</v>
      </c>
    </row>
    <row r="129" spans="2:10" x14ac:dyDescent="0.25">
      <c r="B129" t="s">
        <v>53</v>
      </c>
      <c r="C129" t="s">
        <v>17</v>
      </c>
      <c r="D129" t="s">
        <v>92</v>
      </c>
      <c r="E129">
        <v>4</v>
      </c>
      <c r="F129">
        <v>4</v>
      </c>
      <c r="G129">
        <v>3</v>
      </c>
      <c r="H129">
        <v>4</v>
      </c>
      <c r="I129">
        <v>5</v>
      </c>
      <c r="J129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78.000000000000014</v>
      </c>
    </row>
    <row r="130" spans="2:10" x14ac:dyDescent="0.25">
      <c r="B130" t="s">
        <v>54</v>
      </c>
      <c r="C130" t="s">
        <v>17</v>
      </c>
      <c r="D130" t="s">
        <v>92</v>
      </c>
      <c r="E130">
        <v>4</v>
      </c>
      <c r="F130">
        <v>3</v>
      </c>
      <c r="G130">
        <v>4</v>
      </c>
      <c r="H130">
        <v>4</v>
      </c>
      <c r="I130">
        <v>4</v>
      </c>
      <c r="J130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74.999999999999986</v>
      </c>
    </row>
    <row r="131" spans="2:10" x14ac:dyDescent="0.25">
      <c r="B131" t="s">
        <v>55</v>
      </c>
      <c r="C131" t="s">
        <v>17</v>
      </c>
      <c r="D131" t="s">
        <v>92</v>
      </c>
      <c r="E131">
        <v>5</v>
      </c>
      <c r="F131">
        <v>4</v>
      </c>
      <c r="G131">
        <v>4</v>
      </c>
      <c r="H131">
        <v>3</v>
      </c>
      <c r="I131">
        <v>4</v>
      </c>
      <c r="J131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81</v>
      </c>
    </row>
    <row r="132" spans="2:10" x14ac:dyDescent="0.25">
      <c r="B132" t="s">
        <v>56</v>
      </c>
      <c r="C132" t="s">
        <v>17</v>
      </c>
      <c r="D132" t="s">
        <v>92</v>
      </c>
      <c r="E132">
        <v>4</v>
      </c>
      <c r="F132">
        <v>4</v>
      </c>
      <c r="G132">
        <v>4</v>
      </c>
      <c r="H132">
        <v>4</v>
      </c>
      <c r="I132">
        <v>3</v>
      </c>
      <c r="J132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77.999999999999986</v>
      </c>
    </row>
    <row r="133" spans="2:10" x14ac:dyDescent="0.25">
      <c r="B133" t="s">
        <v>57</v>
      </c>
      <c r="C133" t="s">
        <v>17</v>
      </c>
      <c r="D133" t="s">
        <v>92</v>
      </c>
      <c r="E133">
        <v>5</v>
      </c>
      <c r="F133">
        <v>3</v>
      </c>
      <c r="G133">
        <v>3</v>
      </c>
      <c r="H133">
        <v>4</v>
      </c>
      <c r="I133">
        <v>4</v>
      </c>
      <c r="J133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76</v>
      </c>
    </row>
    <row r="134" spans="2:10" x14ac:dyDescent="0.25">
      <c r="B134" t="s">
        <v>58</v>
      </c>
      <c r="C134" t="s">
        <v>17</v>
      </c>
      <c r="D134" t="s">
        <v>92</v>
      </c>
      <c r="E134">
        <v>4</v>
      </c>
      <c r="F134">
        <v>4</v>
      </c>
      <c r="G134">
        <v>4</v>
      </c>
      <c r="H134">
        <v>3</v>
      </c>
      <c r="I134">
        <v>4</v>
      </c>
      <c r="J134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76</v>
      </c>
    </row>
    <row r="135" spans="2:10" x14ac:dyDescent="0.25">
      <c r="B135" t="s">
        <v>59</v>
      </c>
      <c r="C135" t="s">
        <v>17</v>
      </c>
      <c r="D135" t="s">
        <v>92</v>
      </c>
      <c r="E135">
        <v>4</v>
      </c>
      <c r="F135">
        <v>4</v>
      </c>
      <c r="G135">
        <v>4</v>
      </c>
      <c r="H135">
        <v>4</v>
      </c>
      <c r="I135">
        <v>4</v>
      </c>
      <c r="J135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79.999999999999986</v>
      </c>
    </row>
    <row r="136" spans="2:10" x14ac:dyDescent="0.25">
      <c r="B136" t="s">
        <v>60</v>
      </c>
      <c r="C136" t="s">
        <v>17</v>
      </c>
      <c r="D136" t="s">
        <v>92</v>
      </c>
      <c r="E136">
        <v>4</v>
      </c>
      <c r="F136">
        <v>3</v>
      </c>
      <c r="G136">
        <v>4</v>
      </c>
      <c r="H136">
        <v>4</v>
      </c>
      <c r="I136">
        <v>4</v>
      </c>
      <c r="J136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74.999999999999986</v>
      </c>
    </row>
    <row r="137" spans="2:10" x14ac:dyDescent="0.25">
      <c r="B137" t="s">
        <v>61</v>
      </c>
      <c r="C137" t="s">
        <v>17</v>
      </c>
      <c r="D137" t="s">
        <v>92</v>
      </c>
      <c r="E137">
        <v>4</v>
      </c>
      <c r="F137">
        <v>4</v>
      </c>
      <c r="G137">
        <v>3</v>
      </c>
      <c r="H137">
        <v>4</v>
      </c>
      <c r="I137">
        <v>4</v>
      </c>
      <c r="J137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76</v>
      </c>
    </row>
    <row r="138" spans="2:10" x14ac:dyDescent="0.25">
      <c r="B138" t="s">
        <v>62</v>
      </c>
      <c r="C138" t="s">
        <v>17</v>
      </c>
      <c r="D138" t="s">
        <v>93</v>
      </c>
      <c r="E138">
        <v>4</v>
      </c>
      <c r="F138">
        <v>4</v>
      </c>
      <c r="G138">
        <v>5</v>
      </c>
      <c r="H138">
        <v>4</v>
      </c>
      <c r="I138">
        <v>4</v>
      </c>
      <c r="J138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84</v>
      </c>
    </row>
    <row r="139" spans="2:10" x14ac:dyDescent="0.25">
      <c r="B139" t="s">
        <v>63</v>
      </c>
      <c r="C139" t="s">
        <v>17</v>
      </c>
      <c r="D139" t="s">
        <v>93</v>
      </c>
      <c r="E139">
        <v>4</v>
      </c>
      <c r="F139">
        <v>4</v>
      </c>
      <c r="G139">
        <v>4</v>
      </c>
      <c r="H139">
        <v>4</v>
      </c>
      <c r="I139">
        <v>4</v>
      </c>
      <c r="J139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79.999999999999986</v>
      </c>
    </row>
    <row r="140" spans="2:10" x14ac:dyDescent="0.25">
      <c r="B140" t="s">
        <v>64</v>
      </c>
      <c r="C140" t="s">
        <v>17</v>
      </c>
      <c r="D140" t="s">
        <v>93</v>
      </c>
      <c r="E140">
        <v>5</v>
      </c>
      <c r="F140">
        <v>4</v>
      </c>
      <c r="G140">
        <v>4</v>
      </c>
      <c r="H140">
        <v>3</v>
      </c>
      <c r="I140">
        <v>4</v>
      </c>
      <c r="J140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81</v>
      </c>
    </row>
    <row r="141" spans="2:10" x14ac:dyDescent="0.25">
      <c r="B141" t="s">
        <v>65</v>
      </c>
      <c r="C141" t="s">
        <v>17</v>
      </c>
      <c r="D141" t="s">
        <v>93</v>
      </c>
      <c r="E141">
        <v>4</v>
      </c>
      <c r="F141">
        <v>4</v>
      </c>
      <c r="G141">
        <v>4</v>
      </c>
      <c r="H141">
        <v>4</v>
      </c>
      <c r="I141">
        <v>5</v>
      </c>
      <c r="J141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81.999999999999986</v>
      </c>
    </row>
    <row r="142" spans="2:10" x14ac:dyDescent="0.25">
      <c r="B142" t="s">
        <v>66</v>
      </c>
      <c r="C142" t="s">
        <v>17</v>
      </c>
      <c r="D142" t="s">
        <v>93</v>
      </c>
      <c r="E142">
        <v>4</v>
      </c>
      <c r="F142">
        <v>5</v>
      </c>
      <c r="G142">
        <v>4</v>
      </c>
      <c r="H142">
        <v>3</v>
      </c>
      <c r="I142">
        <v>4</v>
      </c>
      <c r="J142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81</v>
      </c>
    </row>
    <row r="143" spans="2:10" x14ac:dyDescent="0.25">
      <c r="B143" t="s">
        <v>67</v>
      </c>
      <c r="C143" t="s">
        <v>17</v>
      </c>
      <c r="D143" t="s">
        <v>93</v>
      </c>
      <c r="E143">
        <v>4</v>
      </c>
      <c r="F143">
        <v>4</v>
      </c>
      <c r="G143">
        <v>4</v>
      </c>
      <c r="H143">
        <v>4</v>
      </c>
      <c r="I143">
        <v>4</v>
      </c>
      <c r="J143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79.999999999999986</v>
      </c>
    </row>
    <row r="144" spans="2:10" x14ac:dyDescent="0.25">
      <c r="B144" t="s">
        <v>68</v>
      </c>
      <c r="C144" t="s">
        <v>17</v>
      </c>
      <c r="D144" t="s">
        <v>93</v>
      </c>
      <c r="E144">
        <v>5</v>
      </c>
      <c r="F144">
        <v>4</v>
      </c>
      <c r="G144">
        <v>4</v>
      </c>
      <c r="H144">
        <v>4</v>
      </c>
      <c r="I144">
        <v>4</v>
      </c>
      <c r="J144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85</v>
      </c>
    </row>
    <row r="145" spans="2:10" x14ac:dyDescent="0.25">
      <c r="B145" t="s">
        <v>69</v>
      </c>
      <c r="C145" t="s">
        <v>17</v>
      </c>
      <c r="D145" t="s">
        <v>93</v>
      </c>
      <c r="E145">
        <v>5</v>
      </c>
      <c r="F145">
        <v>4</v>
      </c>
      <c r="G145">
        <v>4</v>
      </c>
      <c r="H145">
        <v>4</v>
      </c>
      <c r="I145">
        <v>4</v>
      </c>
      <c r="J145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85</v>
      </c>
    </row>
    <row r="146" spans="2:10" x14ac:dyDescent="0.25">
      <c r="B146" t="s">
        <v>70</v>
      </c>
      <c r="C146" t="s">
        <v>17</v>
      </c>
      <c r="D146" t="s">
        <v>93</v>
      </c>
      <c r="E146">
        <v>4</v>
      </c>
      <c r="F146">
        <v>4</v>
      </c>
      <c r="G146">
        <v>4</v>
      </c>
      <c r="H146">
        <v>4</v>
      </c>
      <c r="I146">
        <v>4</v>
      </c>
      <c r="J146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79.999999999999986</v>
      </c>
    </row>
    <row r="147" spans="2:10" x14ac:dyDescent="0.25">
      <c r="B147" t="s">
        <v>71</v>
      </c>
      <c r="C147" t="s">
        <v>17</v>
      </c>
      <c r="D147" t="s">
        <v>93</v>
      </c>
      <c r="E147">
        <v>4</v>
      </c>
      <c r="F147">
        <v>4</v>
      </c>
      <c r="G147">
        <v>4</v>
      </c>
      <c r="H147">
        <v>4</v>
      </c>
      <c r="I147">
        <v>4</v>
      </c>
      <c r="J147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79.999999999999986</v>
      </c>
    </row>
    <row r="148" spans="2:10" x14ac:dyDescent="0.25">
      <c r="B148" t="s">
        <v>72</v>
      </c>
      <c r="C148" t="s">
        <v>19</v>
      </c>
      <c r="D148" t="s">
        <v>92</v>
      </c>
      <c r="E148">
        <v>4</v>
      </c>
      <c r="F148">
        <v>5</v>
      </c>
      <c r="G148">
        <v>5</v>
      </c>
      <c r="H148">
        <v>4</v>
      </c>
      <c r="I148">
        <v>5</v>
      </c>
      <c r="J148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91</v>
      </c>
    </row>
    <row r="149" spans="2:10" x14ac:dyDescent="0.25">
      <c r="B149" t="s">
        <v>73</v>
      </c>
      <c r="C149" t="s">
        <v>19</v>
      </c>
      <c r="D149" t="s">
        <v>92</v>
      </c>
      <c r="E149">
        <v>4</v>
      </c>
      <c r="F149">
        <v>4</v>
      </c>
      <c r="G149">
        <v>5</v>
      </c>
      <c r="H149">
        <v>5</v>
      </c>
      <c r="I149">
        <v>4</v>
      </c>
      <c r="J149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88.000000000000014</v>
      </c>
    </row>
    <row r="150" spans="2:10" x14ac:dyDescent="0.25">
      <c r="B150" t="s">
        <v>74</v>
      </c>
      <c r="C150" t="s">
        <v>19</v>
      </c>
      <c r="D150" t="s">
        <v>92</v>
      </c>
      <c r="E150">
        <v>5</v>
      </c>
      <c r="F150">
        <v>4</v>
      </c>
      <c r="G150">
        <v>5</v>
      </c>
      <c r="H150">
        <v>4</v>
      </c>
      <c r="I150">
        <v>4</v>
      </c>
      <c r="J150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89</v>
      </c>
    </row>
    <row r="151" spans="2:10" x14ac:dyDescent="0.25">
      <c r="B151" t="s">
        <v>75</v>
      </c>
      <c r="C151" t="s">
        <v>19</v>
      </c>
      <c r="D151" t="s">
        <v>92</v>
      </c>
      <c r="E151">
        <v>4</v>
      </c>
      <c r="F151">
        <v>5</v>
      </c>
      <c r="G151">
        <v>4</v>
      </c>
      <c r="H151">
        <v>5</v>
      </c>
      <c r="I151">
        <v>4</v>
      </c>
      <c r="J151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89</v>
      </c>
    </row>
    <row r="152" spans="2:10" x14ac:dyDescent="0.25">
      <c r="B152" t="s">
        <v>76</v>
      </c>
      <c r="C152" t="s">
        <v>19</v>
      </c>
      <c r="D152" t="s">
        <v>92</v>
      </c>
      <c r="E152">
        <v>5</v>
      </c>
      <c r="F152">
        <v>4</v>
      </c>
      <c r="G152">
        <v>4</v>
      </c>
      <c r="H152">
        <v>4</v>
      </c>
      <c r="I152">
        <v>4</v>
      </c>
      <c r="J152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85</v>
      </c>
    </row>
    <row r="153" spans="2:10" x14ac:dyDescent="0.25">
      <c r="B153" t="s">
        <v>77</v>
      </c>
      <c r="C153" t="s">
        <v>19</v>
      </c>
      <c r="D153" t="s">
        <v>92</v>
      </c>
      <c r="E153">
        <v>4</v>
      </c>
      <c r="F153">
        <v>4</v>
      </c>
      <c r="G153">
        <v>5</v>
      </c>
      <c r="H153">
        <v>4</v>
      </c>
      <c r="I153">
        <v>4</v>
      </c>
      <c r="J153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84</v>
      </c>
    </row>
    <row r="154" spans="2:10" x14ac:dyDescent="0.25">
      <c r="B154" t="s">
        <v>78</v>
      </c>
      <c r="C154" t="s">
        <v>19</v>
      </c>
      <c r="D154" t="s">
        <v>92</v>
      </c>
      <c r="E154">
        <v>5</v>
      </c>
      <c r="F154">
        <v>5</v>
      </c>
      <c r="G154">
        <v>4</v>
      </c>
      <c r="H154">
        <v>4</v>
      </c>
      <c r="I154">
        <v>4</v>
      </c>
      <c r="J154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90</v>
      </c>
    </row>
    <row r="155" spans="2:10" x14ac:dyDescent="0.25">
      <c r="B155" t="s">
        <v>79</v>
      </c>
      <c r="C155" t="s">
        <v>19</v>
      </c>
      <c r="D155" t="s">
        <v>92</v>
      </c>
      <c r="E155">
        <v>5</v>
      </c>
      <c r="F155">
        <v>5</v>
      </c>
      <c r="G155">
        <v>4</v>
      </c>
      <c r="H155">
        <v>4</v>
      </c>
      <c r="I155">
        <v>4</v>
      </c>
      <c r="J155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90</v>
      </c>
    </row>
    <row r="156" spans="2:10" x14ac:dyDescent="0.25">
      <c r="B156" t="s">
        <v>80</v>
      </c>
      <c r="C156" t="s">
        <v>19</v>
      </c>
      <c r="D156" t="s">
        <v>92</v>
      </c>
      <c r="E156">
        <v>5</v>
      </c>
      <c r="F156">
        <v>5</v>
      </c>
      <c r="G156">
        <v>4</v>
      </c>
      <c r="H156">
        <v>4</v>
      </c>
      <c r="I156">
        <v>4</v>
      </c>
      <c r="J156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90</v>
      </c>
    </row>
    <row r="157" spans="2:10" x14ac:dyDescent="0.25">
      <c r="B157" t="s">
        <v>81</v>
      </c>
      <c r="C157" t="s">
        <v>19</v>
      </c>
      <c r="D157" t="s">
        <v>92</v>
      </c>
      <c r="E157">
        <v>4</v>
      </c>
      <c r="F157">
        <v>5</v>
      </c>
      <c r="G157">
        <v>4</v>
      </c>
      <c r="H157">
        <v>4</v>
      </c>
      <c r="I157">
        <v>4</v>
      </c>
      <c r="J157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85</v>
      </c>
    </row>
    <row r="158" spans="2:10" x14ac:dyDescent="0.25">
      <c r="B158" t="s">
        <v>82</v>
      </c>
      <c r="C158" t="s">
        <v>19</v>
      </c>
      <c r="D158" t="s">
        <v>93</v>
      </c>
      <c r="E158">
        <v>5</v>
      </c>
      <c r="F158">
        <v>5</v>
      </c>
      <c r="G158">
        <v>4</v>
      </c>
      <c r="H158">
        <v>5</v>
      </c>
      <c r="I158">
        <v>5</v>
      </c>
      <c r="J158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96</v>
      </c>
    </row>
    <row r="159" spans="2:10" x14ac:dyDescent="0.25">
      <c r="B159" t="s">
        <v>83</v>
      </c>
      <c r="C159" t="s">
        <v>19</v>
      </c>
      <c r="D159" t="s">
        <v>93</v>
      </c>
      <c r="E159">
        <v>5</v>
      </c>
      <c r="F159">
        <v>4</v>
      </c>
      <c r="G159">
        <v>5</v>
      </c>
      <c r="H159">
        <v>5</v>
      </c>
      <c r="I159">
        <v>5</v>
      </c>
      <c r="J159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95</v>
      </c>
    </row>
    <row r="160" spans="2:10" x14ac:dyDescent="0.25">
      <c r="B160" t="s">
        <v>84</v>
      </c>
      <c r="C160" t="s">
        <v>19</v>
      </c>
      <c r="D160" t="s">
        <v>93</v>
      </c>
      <c r="E160">
        <v>5</v>
      </c>
      <c r="F160">
        <v>5</v>
      </c>
      <c r="G160">
        <v>5</v>
      </c>
      <c r="H160">
        <v>4</v>
      </c>
      <c r="I160">
        <v>5</v>
      </c>
      <c r="J160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96</v>
      </c>
    </row>
    <row r="161" spans="2:10" x14ac:dyDescent="0.25">
      <c r="B161" t="s">
        <v>85</v>
      </c>
      <c r="C161" t="s">
        <v>19</v>
      </c>
      <c r="D161" t="s">
        <v>93</v>
      </c>
      <c r="E161">
        <v>4</v>
      </c>
      <c r="F161">
        <v>5</v>
      </c>
      <c r="G161">
        <v>4</v>
      </c>
      <c r="H161">
        <v>5</v>
      </c>
      <c r="I161">
        <v>5</v>
      </c>
      <c r="J161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91</v>
      </c>
    </row>
    <row r="162" spans="2:10" x14ac:dyDescent="0.25">
      <c r="B162" t="s">
        <v>86</v>
      </c>
      <c r="C162" t="s">
        <v>19</v>
      </c>
      <c r="D162" t="s">
        <v>93</v>
      </c>
      <c r="E162">
        <v>4</v>
      </c>
      <c r="F162">
        <v>5</v>
      </c>
      <c r="G162">
        <v>5</v>
      </c>
      <c r="H162">
        <v>5</v>
      </c>
      <c r="I162">
        <v>4</v>
      </c>
      <c r="J162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93.000000000000014</v>
      </c>
    </row>
    <row r="163" spans="2:10" x14ac:dyDescent="0.25">
      <c r="B163" t="s">
        <v>87</v>
      </c>
      <c r="C163" t="s">
        <v>19</v>
      </c>
      <c r="D163" t="s">
        <v>93</v>
      </c>
      <c r="E163">
        <v>5</v>
      </c>
      <c r="F163">
        <v>5</v>
      </c>
      <c r="G163">
        <v>5</v>
      </c>
      <c r="H163">
        <v>4</v>
      </c>
      <c r="I163">
        <v>4</v>
      </c>
      <c r="J163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94</v>
      </c>
    </row>
    <row r="164" spans="2:10" x14ac:dyDescent="0.25">
      <c r="B164" t="s">
        <v>88</v>
      </c>
      <c r="C164" t="s">
        <v>19</v>
      </c>
      <c r="D164" t="s">
        <v>93</v>
      </c>
      <c r="E164">
        <v>5</v>
      </c>
      <c r="F164">
        <v>5</v>
      </c>
      <c r="G164">
        <v>5</v>
      </c>
      <c r="H164">
        <v>4</v>
      </c>
      <c r="I164">
        <v>5</v>
      </c>
      <c r="J164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96</v>
      </c>
    </row>
    <row r="165" spans="2:10" x14ac:dyDescent="0.25">
      <c r="B165" t="s">
        <v>89</v>
      </c>
      <c r="C165" t="s">
        <v>19</v>
      </c>
      <c r="D165" t="s">
        <v>93</v>
      </c>
      <c r="E165">
        <v>5</v>
      </c>
      <c r="F165">
        <v>5</v>
      </c>
      <c r="G165">
        <v>5</v>
      </c>
      <c r="H165">
        <v>5</v>
      </c>
      <c r="I165">
        <v>4</v>
      </c>
      <c r="J165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98.000000000000014</v>
      </c>
    </row>
    <row r="166" spans="2:10" x14ac:dyDescent="0.25">
      <c r="B166" t="s">
        <v>90</v>
      </c>
      <c r="C166" t="s">
        <v>19</v>
      </c>
      <c r="D166" t="s">
        <v>93</v>
      </c>
      <c r="E166">
        <v>5</v>
      </c>
      <c r="F166">
        <v>5</v>
      </c>
      <c r="G166">
        <v>5</v>
      </c>
      <c r="H166">
        <v>5</v>
      </c>
      <c r="I166">
        <v>4</v>
      </c>
      <c r="J166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98.000000000000014</v>
      </c>
    </row>
    <row r="167" spans="2:10" x14ac:dyDescent="0.25">
      <c r="B167" t="s">
        <v>91</v>
      </c>
      <c r="C167" t="s">
        <v>19</v>
      </c>
      <c r="D167" t="s">
        <v>93</v>
      </c>
      <c r="E167">
        <v>5</v>
      </c>
      <c r="F167">
        <v>5</v>
      </c>
      <c r="G167">
        <v>5</v>
      </c>
      <c r="H167">
        <v>4</v>
      </c>
      <c r="I167">
        <v>5</v>
      </c>
      <c r="J167">
        <f>((kenan_acc_table[[#This Row],[Factual Correctness]]*0.25)+(kenan_acc_table[[#This Row],[Reasoning Quality]]*0.25)+(kenan_acc_table[[#This Row],[Coherency and Clarity]]*0.2)+(kenan_acc_table[[#This Row],[Completeness]]*0.2)+(kenan_acc_table[[#This Row],[Understanding Depth]]*0.1))*100/5</f>
        <v>96</v>
      </c>
    </row>
  </sheetData>
  <mergeCells count="2">
    <mergeCell ref="B2:J2"/>
    <mergeCell ref="B86:J86"/>
  </mergeCells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146A-A8A6-4D51-8E4D-72EC0FB3A64A}">
  <dimension ref="B2:I23"/>
  <sheetViews>
    <sheetView zoomScaleNormal="100" workbookViewId="0">
      <selection activeCell="B25" sqref="B25"/>
    </sheetView>
  </sheetViews>
  <sheetFormatPr defaultRowHeight="15" x14ac:dyDescent="0.25"/>
  <cols>
    <col min="1" max="1" width="33.85546875" customWidth="1"/>
    <col min="2" max="2" width="17.42578125" bestFit="1" customWidth="1"/>
    <col min="3" max="3" width="18.42578125" bestFit="1" customWidth="1"/>
    <col min="4" max="4" width="20.7109375" bestFit="1" customWidth="1"/>
    <col min="5" max="5" width="28.28515625" bestFit="1" customWidth="1"/>
    <col min="6" max="6" width="30.28515625" customWidth="1"/>
    <col min="7" max="7" width="26" customWidth="1"/>
    <col min="8" max="8" width="22.5703125" bestFit="1" customWidth="1"/>
    <col min="9" max="9" width="17.5703125" bestFit="1" customWidth="1"/>
    <col min="10" max="10" width="12.7109375" bestFit="1" customWidth="1"/>
    <col min="11" max="11" width="13.140625" customWidth="1"/>
  </cols>
  <sheetData>
    <row r="2" spans="2:9" x14ac:dyDescent="0.25">
      <c r="B2" s="2" t="s">
        <v>94</v>
      </c>
      <c r="C2" s="2"/>
      <c r="D2" s="2"/>
      <c r="E2" s="2"/>
      <c r="F2" s="2"/>
      <c r="G2" s="2"/>
      <c r="H2" s="2"/>
    </row>
    <row r="3" spans="2:9" x14ac:dyDescent="0.25">
      <c r="B3" t="s">
        <v>15</v>
      </c>
      <c r="C3" t="s">
        <v>14</v>
      </c>
      <c r="D3" t="s">
        <v>105</v>
      </c>
      <c r="E3" t="s">
        <v>1</v>
      </c>
      <c r="F3" t="s">
        <v>2</v>
      </c>
      <c r="G3" t="s">
        <v>3</v>
      </c>
      <c r="H3" t="s">
        <v>4</v>
      </c>
    </row>
    <row r="4" spans="2:9" x14ac:dyDescent="0.25">
      <c r="B4" t="s">
        <v>17</v>
      </c>
      <c r="C4" t="s">
        <v>16</v>
      </c>
      <c r="D4">
        <f>AVERAGEIFS(tasks_table[Avg Accuracy (%)], tasks_table[Reasoning Style], mean_table[[#This Row],[Reasoning Style]], tasks_table[Example Context], mean_table[[#This Row],[Example Context]])</f>
        <v>82.924999999999997</v>
      </c>
      <c r="E4">
        <f>AVERAGEIFS(tasks_table[Prompt Verbosity ('#tokens)], tasks_table[Reasoning Style], mean_table[[#This Row],[Reasoning Style]], tasks_table[Example Context], mean_table[[#This Row],[Example Context]])</f>
        <v>29.1</v>
      </c>
      <c r="F4">
        <f>AVERAGEIFS(tasks_table[Response Verbosity ('#tokens)], tasks_table[Reasoning Style], mean_table[[#This Row],[Reasoning Style]], tasks_table[Example Context], mean_table[[#This Row],[Example Context]])</f>
        <v>161</v>
      </c>
      <c r="G4">
        <f>AVERAGEIFS(tasks_table[Total Verbosity ('#tokens)], tasks_table[Reasoning Style], mean_table[[#This Row],[Reasoning Style]], tasks_table[Example Context], mean_table[[#This Row],[Example Context]])</f>
        <v>190.1</v>
      </c>
      <c r="H4">
        <f>AVERAGEIFS(tasks_table[Cost (USD)], tasks_table[Reasoning Style], mean_table[[#This Row],[Reasoning Style]], tasks_table[Example Context], mean_table[[#This Row],[Example Context]])</f>
        <v>1.6463749999999998E-3</v>
      </c>
    </row>
    <row r="5" spans="2:9" x14ac:dyDescent="0.25">
      <c r="B5" t="s">
        <v>17</v>
      </c>
      <c r="C5" t="s">
        <v>18</v>
      </c>
      <c r="D5">
        <f>AVERAGEIFS(tasks_table[Avg Accuracy (%)], tasks_table[Reasoning Style], mean_table[[#This Row],[Reasoning Style]], tasks_table[Example Context], mean_table[[#This Row],[Example Context]])</f>
        <v>84.025000000000006</v>
      </c>
      <c r="E5">
        <f>AVERAGEIFS(tasks_table[Prompt Verbosity ('#tokens)], tasks_table[Reasoning Style], mean_table[[#This Row],[Reasoning Style]], tasks_table[Example Context], mean_table[[#This Row],[Example Context]])</f>
        <v>77.45</v>
      </c>
      <c r="F5">
        <f>AVERAGEIFS(tasks_table[Response Verbosity ('#tokens)], tasks_table[Reasoning Style], mean_table[[#This Row],[Reasoning Style]], tasks_table[Example Context], mean_table[[#This Row],[Example Context]])</f>
        <v>172.1</v>
      </c>
      <c r="G5">
        <f>AVERAGEIFS(tasks_table[Total Verbosity ('#tokens)], tasks_table[Reasoning Style], mean_table[[#This Row],[Reasoning Style]], tasks_table[Example Context], mean_table[[#This Row],[Example Context]])</f>
        <v>249.55</v>
      </c>
      <c r="H5">
        <f>AVERAGEIFS(tasks_table[Cost (USD)], tasks_table[Reasoning Style], mean_table[[#This Row],[Reasoning Style]], tasks_table[Example Context], mean_table[[#This Row],[Example Context]])</f>
        <v>1.8178125E-3</v>
      </c>
    </row>
    <row r="6" spans="2:9" x14ac:dyDescent="0.25">
      <c r="B6" t="s">
        <v>19</v>
      </c>
      <c r="C6" t="s">
        <v>16</v>
      </c>
      <c r="D6">
        <f>AVERAGEIFS(tasks_table[Avg Accuracy (%)], tasks_table[Reasoning Style], mean_table[[#This Row],[Reasoning Style]], tasks_table[Example Context], mean_table[[#This Row],[Example Context]])</f>
        <v>93.05</v>
      </c>
      <c r="E6">
        <f>AVERAGEIFS(tasks_table[Prompt Verbosity ('#tokens)], tasks_table[Reasoning Style], mean_table[[#This Row],[Reasoning Style]], tasks_table[Example Context], mean_table[[#This Row],[Example Context]])</f>
        <v>72.400000000000006</v>
      </c>
      <c r="F6">
        <f>AVERAGEIFS(tasks_table[Response Verbosity ('#tokens)], tasks_table[Reasoning Style], mean_table[[#This Row],[Reasoning Style]], tasks_table[Example Context], mean_table[[#This Row],[Example Context]])</f>
        <v>288.10000000000002</v>
      </c>
      <c r="G6">
        <f>AVERAGEIFS(tasks_table[Total Verbosity ('#tokens)], tasks_table[Reasoning Style], mean_table[[#This Row],[Reasoning Style]], tasks_table[Example Context], mean_table[[#This Row],[Example Context]])</f>
        <v>360.5</v>
      </c>
      <c r="H6">
        <f>AVERAGEIFS(tasks_table[Cost (USD)], tasks_table[Reasoning Style], mean_table[[#This Row],[Reasoning Style]], tasks_table[Example Context], mean_table[[#This Row],[Example Context]])</f>
        <v>2.9715000000000002E-3</v>
      </c>
    </row>
    <row r="7" spans="2:9" x14ac:dyDescent="0.25">
      <c r="B7" t="s">
        <v>19</v>
      </c>
      <c r="C7" t="s">
        <v>18</v>
      </c>
      <c r="D7">
        <f>AVERAGEIFS(tasks_table[Avg Accuracy (%)], tasks_table[Reasoning Style], mean_table[[#This Row],[Reasoning Style]], tasks_table[Example Context], mean_table[[#This Row],[Example Context]])</f>
        <v>94.825000000000003</v>
      </c>
      <c r="E7">
        <f>AVERAGEIFS(tasks_table[Prompt Verbosity ('#tokens)], tasks_table[Reasoning Style], mean_table[[#This Row],[Reasoning Style]], tasks_table[Example Context], mean_table[[#This Row],[Example Context]])</f>
        <v>361.65</v>
      </c>
      <c r="F7">
        <f>AVERAGEIFS(tasks_table[Response Verbosity ('#tokens)], tasks_table[Reasoning Style], mean_table[[#This Row],[Reasoning Style]], tasks_table[Example Context], mean_table[[#This Row],[Example Context]])</f>
        <v>322.3</v>
      </c>
      <c r="G7">
        <f>AVERAGEIFS(tasks_table[Total Verbosity ('#tokens)], tasks_table[Reasoning Style], mean_table[[#This Row],[Reasoning Style]], tasks_table[Example Context], mean_table[[#This Row],[Example Context]])</f>
        <v>683.95</v>
      </c>
      <c r="H7">
        <f>AVERAGEIFS(tasks_table[Cost (USD)], tasks_table[Reasoning Style], mean_table[[#This Row],[Reasoning Style]], tasks_table[Example Context], mean_table[[#This Row],[Example Context]])</f>
        <v>3.6750625000000004E-3</v>
      </c>
    </row>
    <row r="10" spans="2:9" x14ac:dyDescent="0.25">
      <c r="B10" s="2" t="s">
        <v>103</v>
      </c>
      <c r="C10" s="2"/>
      <c r="D10" s="2"/>
      <c r="E10" s="2"/>
      <c r="F10" s="2"/>
      <c r="G10" s="2"/>
      <c r="H10" s="2"/>
      <c r="I10" s="2"/>
    </row>
    <row r="11" spans="2:9" x14ac:dyDescent="0.25">
      <c r="B11" t="s">
        <v>15</v>
      </c>
      <c r="C11" t="s">
        <v>14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 t="s">
        <v>100</v>
      </c>
    </row>
    <row r="12" spans="2:9" x14ac:dyDescent="0.25">
      <c r="B12" t="s">
        <v>17</v>
      </c>
      <c r="C12" t="s">
        <v>16</v>
      </c>
      <c r="D12">
        <f>AVERAGEIFS(koorosh_acc_table[Factual Correctness], koorosh_acc_table[Reasoning Style], acc_mean_table[[#This Row],[Reasoning Style]], koorosh_acc_table[Example Context], acc_mean_table[[#This Row],[Example Context]])</f>
        <v>4.95</v>
      </c>
      <c r="E12">
        <f>AVERAGEIFS(koorosh_acc_table[Reasoning Quality], koorosh_acc_table[Reasoning Style], acc_mean_table[[#This Row],[Reasoning Style]], koorosh_acc_table[Example Context], acc_mean_table[[#This Row],[Example Context]])</f>
        <v>3.6</v>
      </c>
      <c r="F12">
        <f>AVERAGEIFS(koorosh_acc_table[Coherency and Clarity], koorosh_acc_table[Reasoning Style], acc_mean_table[[#This Row],[Reasoning Style]], koorosh_acc_table[Example Context], acc_mean_table[[#This Row],[Example Context]])</f>
        <v>3.95</v>
      </c>
      <c r="G12">
        <f>AVERAGEIFS(koorosh_acc_table[Completeness], koorosh_acc_table[Reasoning Style], acc_mean_table[[#This Row],[Reasoning Style]], koorosh_acc_table[Example Context], acc_mean_table[[#This Row],[Example Context]])</f>
        <v>4.75</v>
      </c>
      <c r="H12">
        <f>AVERAGEIFS(koorosh_acc_table[Understanding Depth], koorosh_acc_table[Reasoning Style], acc_mean_table[[#This Row],[Reasoning Style]], koorosh_acc_table[Example Context], acc_mean_table[[#This Row],[Example Context]])</f>
        <v>4.95</v>
      </c>
      <c r="I12">
        <f>AVERAGEIFS(koorosh_acc_table[[Weighted Total ]], koorosh_acc_table[Reasoning Style], acc_mean_table[[#This Row],[Reasoning Style]], koorosh_acc_table[Example Context], acc_mean_table[[#This Row],[Example Context]])</f>
        <v>87.45</v>
      </c>
    </row>
    <row r="13" spans="2:9" x14ac:dyDescent="0.25">
      <c r="B13" t="s">
        <v>17</v>
      </c>
      <c r="C13" t="s">
        <v>18</v>
      </c>
      <c r="D13">
        <f>AVERAGEIFS(koorosh_acc_table[Factual Correctness], koorosh_acc_table[Reasoning Style], acc_mean_table[[#This Row],[Reasoning Style]], koorosh_acc_table[Example Context], acc_mean_table[[#This Row],[Example Context]])</f>
        <v>4.8499999999999996</v>
      </c>
      <c r="E13">
        <f>AVERAGEIFS(koorosh_acc_table[Reasoning Quality], koorosh_acc_table[Reasoning Style], acc_mean_table[[#This Row],[Reasoning Style]], koorosh_acc_table[Example Context], acc_mean_table[[#This Row],[Example Context]])</f>
        <v>3.15</v>
      </c>
      <c r="F13">
        <f>AVERAGEIFS(koorosh_acc_table[Coherency and Clarity], koorosh_acc_table[Reasoning Style], acc_mean_table[[#This Row],[Reasoning Style]], koorosh_acc_table[Example Context], acc_mean_table[[#This Row],[Example Context]])</f>
        <v>3.7</v>
      </c>
      <c r="G13">
        <f>AVERAGEIFS(koorosh_acc_table[Completeness], koorosh_acc_table[Reasoning Style], acc_mean_table[[#This Row],[Reasoning Style]], koorosh_acc_table[Example Context], acc_mean_table[[#This Row],[Example Context]])</f>
        <v>4.75</v>
      </c>
      <c r="H13">
        <f>AVERAGEIFS(koorosh_acc_table[Understanding Depth], koorosh_acc_table[Reasoning Style], acc_mean_table[[#This Row],[Reasoning Style]], koorosh_acc_table[Example Context], acc_mean_table[[#This Row],[Example Context]])</f>
        <v>4.9000000000000004</v>
      </c>
      <c r="I13">
        <f>AVERAGEIFS(koorosh_acc_table[[Weighted Total ]], koorosh_acc_table[Reasoning Style], acc_mean_table[[#This Row],[Reasoning Style]], koorosh_acc_table[Example Context], acc_mean_table[[#This Row],[Example Context]])</f>
        <v>83.6</v>
      </c>
    </row>
    <row r="14" spans="2:9" x14ac:dyDescent="0.25">
      <c r="B14" t="s">
        <v>19</v>
      </c>
      <c r="C14" t="s">
        <v>16</v>
      </c>
      <c r="D14">
        <f>AVERAGEIFS(koorosh_acc_table[Factual Correctness], koorosh_acc_table[Reasoning Style], acc_mean_table[[#This Row],[Reasoning Style]], koorosh_acc_table[Example Context], acc_mean_table[[#This Row],[Example Context]])</f>
        <v>4.7</v>
      </c>
      <c r="E14">
        <f>AVERAGEIFS(koorosh_acc_table[Reasoning Quality], koorosh_acc_table[Reasoning Style], acc_mean_table[[#This Row],[Reasoning Style]], koorosh_acc_table[Example Context], acc_mean_table[[#This Row],[Example Context]])</f>
        <v>4.8499999999999996</v>
      </c>
      <c r="F14">
        <f>AVERAGEIFS(koorosh_acc_table[Coherency and Clarity], koorosh_acc_table[Reasoning Style], acc_mean_table[[#This Row],[Reasoning Style]], koorosh_acc_table[Example Context], acc_mean_table[[#This Row],[Example Context]])</f>
        <v>4.75</v>
      </c>
      <c r="G14">
        <f>AVERAGEIFS(koorosh_acc_table[Completeness], koorosh_acc_table[Reasoning Style], acc_mean_table[[#This Row],[Reasoning Style]], koorosh_acc_table[Example Context], acc_mean_table[[#This Row],[Example Context]])</f>
        <v>5</v>
      </c>
      <c r="H14">
        <f>AVERAGEIFS(koorosh_acc_table[Understanding Depth], koorosh_acc_table[Reasoning Style], acc_mean_table[[#This Row],[Reasoning Style]], koorosh_acc_table[Example Context], acc_mean_table[[#This Row],[Example Context]])</f>
        <v>5</v>
      </c>
      <c r="I14">
        <f>AVERAGEIFS(koorosh_acc_table[[Weighted Total ]], koorosh_acc_table[Reasoning Style], acc_mean_table[[#This Row],[Reasoning Style]], koorosh_acc_table[Example Context], acc_mean_table[[#This Row],[Example Context]])</f>
        <v>96.75</v>
      </c>
    </row>
    <row r="15" spans="2:9" x14ac:dyDescent="0.25">
      <c r="B15" t="s">
        <v>19</v>
      </c>
      <c r="C15" t="s">
        <v>18</v>
      </c>
      <c r="D15">
        <f>AVERAGEIFS(koorosh_acc_table[Factual Correctness], koorosh_acc_table[Reasoning Style], acc_mean_table[[#This Row],[Reasoning Style]], koorosh_acc_table[Example Context], acc_mean_table[[#This Row],[Example Context]])</f>
        <v>4.55</v>
      </c>
      <c r="E15">
        <f>AVERAGEIFS(koorosh_acc_table[Reasoning Quality], koorosh_acc_table[Reasoning Style], acc_mean_table[[#This Row],[Reasoning Style]], koorosh_acc_table[Example Context], acc_mean_table[[#This Row],[Example Context]])</f>
        <v>4.75</v>
      </c>
      <c r="F15">
        <f>AVERAGEIFS(koorosh_acc_table[Coherency and Clarity], koorosh_acc_table[Reasoning Style], acc_mean_table[[#This Row],[Reasoning Style]], koorosh_acc_table[Example Context], acc_mean_table[[#This Row],[Example Context]])</f>
        <v>4.6500000000000004</v>
      </c>
      <c r="G15">
        <f>AVERAGEIFS(koorosh_acc_table[Completeness], koorosh_acc_table[Reasoning Style], acc_mean_table[[#This Row],[Reasoning Style]], koorosh_acc_table[Example Context], acc_mean_table[[#This Row],[Example Context]])</f>
        <v>5</v>
      </c>
      <c r="H15">
        <f>AVERAGEIFS(koorosh_acc_table[Understanding Depth], koorosh_acc_table[Reasoning Style], acc_mean_table[[#This Row],[Reasoning Style]], koorosh_acc_table[Example Context], acc_mean_table[[#This Row],[Example Context]])</f>
        <v>4.95</v>
      </c>
      <c r="I15">
        <f>AVERAGEIFS(koorosh_acc_table[[Weighted Total ]], koorosh_acc_table[Reasoning Style], acc_mean_table[[#This Row],[Reasoning Style]], koorosh_acc_table[Example Context], acc_mean_table[[#This Row],[Example Context]])</f>
        <v>95</v>
      </c>
    </row>
    <row r="18" spans="2:9" x14ac:dyDescent="0.25">
      <c r="B18" s="2" t="s">
        <v>104</v>
      </c>
      <c r="C18" s="2"/>
      <c r="D18" s="2"/>
      <c r="E18" s="2"/>
      <c r="F18" s="2"/>
      <c r="G18" s="2"/>
      <c r="H18" s="2"/>
      <c r="I18" s="2"/>
    </row>
    <row r="19" spans="2:9" x14ac:dyDescent="0.25">
      <c r="B19" t="s">
        <v>15</v>
      </c>
      <c r="C19" t="s">
        <v>14</v>
      </c>
      <c r="D19" t="s">
        <v>95</v>
      </c>
      <c r="E19" t="s">
        <v>96</v>
      </c>
      <c r="F19" t="s">
        <v>97</v>
      </c>
      <c r="G19" t="s">
        <v>98</v>
      </c>
      <c r="H19" t="s">
        <v>99</v>
      </c>
      <c r="I19" t="s">
        <v>100</v>
      </c>
    </row>
    <row r="20" spans="2:9" x14ac:dyDescent="0.25">
      <c r="B20" t="s">
        <v>17</v>
      </c>
      <c r="C20" t="s">
        <v>16</v>
      </c>
      <c r="D20">
        <f>AVERAGEIFS(kenan_acc_table[Factual Correctness], kenan_acc_table[Reasoning Style], acc_mean_table7[[#This Row],[Reasoning Style]], kenan_acc_table[Example Context], acc_mean_table7[[#This Row],[Example Context]])</f>
        <v>4.3499999999999996</v>
      </c>
      <c r="E20">
        <f>AVERAGEIFS(kenan_acc_table[Reasoning Quality], kenan_acc_table[Reasoning Style], acc_mean_table7[[#This Row],[Reasoning Style]], kenan_acc_table[Example Context], acc_mean_table7[[#This Row],[Example Context]])</f>
        <v>3.65</v>
      </c>
      <c r="F20">
        <f>AVERAGEIFS(kenan_acc_table[Coherency and Clarity], kenan_acc_table[Reasoning Style], acc_mean_table7[[#This Row],[Reasoning Style]], kenan_acc_table[Example Context], acc_mean_table7[[#This Row],[Example Context]])</f>
        <v>3.75</v>
      </c>
      <c r="G20">
        <f>AVERAGEIFS(kenan_acc_table[Completeness], kenan_acc_table[Reasoning Style], acc_mean_table7[[#This Row],[Reasoning Style]], kenan_acc_table[Example Context], acc_mean_table7[[#This Row],[Example Context]])</f>
        <v>3.75</v>
      </c>
      <c r="H20">
        <f>AVERAGEIFS(kenan_acc_table[Understanding Depth], kenan_acc_table[Reasoning Style], acc_mean_table7[[#This Row],[Reasoning Style]], kenan_acc_table[Example Context], acc_mean_table7[[#This Row],[Example Context]])</f>
        <v>4.2</v>
      </c>
      <c r="I20">
        <f>AVERAGEIFS(kenan_acc_table[[Weighted Total ]], kenan_acc_table[Reasoning Style], acc_mean_table7[[#This Row],[Reasoning Style]], kenan_acc_table[Example Context], acc_mean_table7[[#This Row],[Example Context]])</f>
        <v>78.400000000000006</v>
      </c>
    </row>
    <row r="21" spans="2:9" x14ac:dyDescent="0.25">
      <c r="B21" t="s">
        <v>17</v>
      </c>
      <c r="C21" t="s">
        <v>18</v>
      </c>
      <c r="D21">
        <f>AVERAGEIFS(kenan_acc_table[Factual Correctness], kenan_acc_table[Reasoning Style], acc_mean_table7[[#This Row],[Reasoning Style]], kenan_acc_table[Example Context], acc_mean_table7[[#This Row],[Example Context]])</f>
        <v>4.55</v>
      </c>
      <c r="E21">
        <f>AVERAGEIFS(kenan_acc_table[Reasoning Quality], kenan_acc_table[Reasoning Style], acc_mean_table7[[#This Row],[Reasoning Style]], kenan_acc_table[Example Context], acc_mean_table7[[#This Row],[Example Context]])</f>
        <v>4.0999999999999996</v>
      </c>
      <c r="F21">
        <f>AVERAGEIFS(kenan_acc_table[Coherency and Clarity], kenan_acc_table[Reasoning Style], acc_mean_table7[[#This Row],[Reasoning Style]], kenan_acc_table[Example Context], acc_mean_table7[[#This Row],[Example Context]])</f>
        <v>4.2</v>
      </c>
      <c r="G21">
        <f>AVERAGEIFS(kenan_acc_table[Completeness], kenan_acc_table[Reasoning Style], acc_mean_table7[[#This Row],[Reasoning Style]], kenan_acc_table[Example Context], acc_mean_table7[[#This Row],[Example Context]])</f>
        <v>4</v>
      </c>
      <c r="H21">
        <f>AVERAGEIFS(kenan_acc_table[Understanding Depth], kenan_acc_table[Reasoning Style], acc_mean_table7[[#This Row],[Reasoning Style]], kenan_acc_table[Example Context], acc_mean_table7[[#This Row],[Example Context]])</f>
        <v>4.2</v>
      </c>
      <c r="I21">
        <f>AVERAGEIFS(kenan_acc_table[[Weighted Total ]], kenan_acc_table[Reasoning Style], acc_mean_table7[[#This Row],[Reasoning Style]], kenan_acc_table[Example Context], acc_mean_table7[[#This Row],[Example Context]])</f>
        <v>84.45</v>
      </c>
    </row>
    <row r="22" spans="2:9" x14ac:dyDescent="0.25">
      <c r="B22" t="s">
        <v>19</v>
      </c>
      <c r="C22" t="s">
        <v>16</v>
      </c>
      <c r="D22">
        <f>AVERAGEIFS(kenan_acc_table[Factual Correctness], kenan_acc_table[Reasoning Style], acc_mean_table7[[#This Row],[Reasoning Style]], kenan_acc_table[Example Context], acc_mean_table7[[#This Row],[Example Context]])</f>
        <v>4.7</v>
      </c>
      <c r="E22">
        <f>AVERAGEIFS(kenan_acc_table[Reasoning Quality], kenan_acc_table[Reasoning Style], acc_mean_table7[[#This Row],[Reasoning Style]], kenan_acc_table[Example Context], acc_mean_table7[[#This Row],[Example Context]])</f>
        <v>4.3499999999999996</v>
      </c>
      <c r="F22">
        <f>AVERAGEIFS(kenan_acc_table[Coherency and Clarity], kenan_acc_table[Reasoning Style], acc_mean_table7[[#This Row],[Reasoning Style]], kenan_acc_table[Example Context], acc_mean_table7[[#This Row],[Example Context]])</f>
        <v>4.5</v>
      </c>
      <c r="G22">
        <f>AVERAGEIFS(kenan_acc_table[Completeness], kenan_acc_table[Reasoning Style], acc_mean_table7[[#This Row],[Reasoning Style]], kenan_acc_table[Example Context], acc_mean_table7[[#This Row],[Example Context]])</f>
        <v>4.45</v>
      </c>
      <c r="H22">
        <f>AVERAGEIFS(kenan_acc_table[Understanding Depth], kenan_acc_table[Reasoning Style], acc_mean_table7[[#This Row],[Reasoning Style]], kenan_acc_table[Example Context], acc_mean_table7[[#This Row],[Example Context]])</f>
        <v>4.1500000000000004</v>
      </c>
      <c r="I22">
        <f>AVERAGEIFS(kenan_acc_table[[Weighted Total ]], kenan_acc_table[Reasoning Style], acc_mean_table7[[#This Row],[Reasoning Style]], kenan_acc_table[Example Context], acc_mean_table7[[#This Row],[Example Context]])</f>
        <v>89.35</v>
      </c>
    </row>
    <row r="23" spans="2:9" x14ac:dyDescent="0.25">
      <c r="B23" t="s">
        <v>19</v>
      </c>
      <c r="C23" t="s">
        <v>18</v>
      </c>
      <c r="D23">
        <f>AVERAGEIFS(kenan_acc_table[Factual Correctness], kenan_acc_table[Reasoning Style], acc_mean_table7[[#This Row],[Reasoning Style]], kenan_acc_table[Example Context], acc_mean_table7[[#This Row],[Example Context]])</f>
        <v>4.8499999999999996</v>
      </c>
      <c r="E23">
        <f>AVERAGEIFS(kenan_acc_table[Reasoning Quality], kenan_acc_table[Reasoning Style], acc_mean_table7[[#This Row],[Reasoning Style]], kenan_acc_table[Example Context], acc_mean_table7[[#This Row],[Example Context]])</f>
        <v>4.7</v>
      </c>
      <c r="F23">
        <f>AVERAGEIFS(kenan_acc_table[Coherency and Clarity], kenan_acc_table[Reasoning Style], acc_mean_table7[[#This Row],[Reasoning Style]], kenan_acc_table[Example Context], acc_mean_table7[[#This Row],[Example Context]])</f>
        <v>4.8</v>
      </c>
      <c r="G23">
        <f>AVERAGEIFS(kenan_acc_table[Completeness], kenan_acc_table[Reasoning Style], acc_mean_table7[[#This Row],[Reasoning Style]], kenan_acc_table[Example Context], acc_mean_table7[[#This Row],[Example Context]])</f>
        <v>4.55</v>
      </c>
      <c r="H23">
        <f>AVERAGEIFS(kenan_acc_table[Understanding Depth], kenan_acc_table[Reasoning Style], acc_mean_table7[[#This Row],[Reasoning Style]], kenan_acc_table[Example Context], acc_mean_table7[[#This Row],[Example Context]])</f>
        <v>4.75</v>
      </c>
      <c r="I23">
        <f>AVERAGEIFS(kenan_acc_table[[Weighted Total ]], kenan_acc_table[Reasoning Style], acc_mean_table7[[#This Row],[Reasoning Style]], kenan_acc_table[Example Context], acc_mean_table7[[#This Row],[Example Context]])</f>
        <v>94.65</v>
      </c>
    </row>
  </sheetData>
  <mergeCells count="3">
    <mergeCell ref="B2:H2"/>
    <mergeCell ref="B10:I10"/>
    <mergeCell ref="B18:I18"/>
  </mergeCells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23BA-B8BC-4F19-936F-A9E2FCB42732}">
  <dimension ref="B2:E7"/>
  <sheetViews>
    <sheetView workbookViewId="0">
      <selection activeCell="B9" sqref="B9"/>
    </sheetView>
  </sheetViews>
  <sheetFormatPr defaultRowHeight="15" x14ac:dyDescent="0.25"/>
  <cols>
    <col min="1" max="1" width="55.28515625" customWidth="1"/>
    <col min="2" max="2" width="17.42578125" bestFit="1" customWidth="1"/>
    <col min="3" max="3" width="18.42578125" bestFit="1" customWidth="1"/>
    <col min="4" max="4" width="19.5703125" bestFit="1" customWidth="1"/>
    <col min="5" max="5" width="21.140625" bestFit="1" customWidth="1"/>
    <col min="6" max="6" width="9.5703125" customWidth="1"/>
    <col min="7" max="7" width="10" customWidth="1"/>
    <col min="8" max="8" width="10.5703125" customWidth="1"/>
    <col min="9" max="9" width="9.7109375" customWidth="1"/>
    <col min="10" max="10" width="10.28515625" customWidth="1"/>
    <col min="11" max="11" width="10" customWidth="1"/>
  </cols>
  <sheetData>
    <row r="2" spans="2:5" x14ac:dyDescent="0.25">
      <c r="B2" s="2" t="s">
        <v>20</v>
      </c>
      <c r="C2" s="2"/>
      <c r="D2" s="2"/>
      <c r="E2" s="2"/>
    </row>
    <row r="3" spans="2:5" x14ac:dyDescent="0.25">
      <c r="B3" t="s">
        <v>15</v>
      </c>
      <c r="C3" t="s">
        <v>14</v>
      </c>
      <c r="D3" t="s">
        <v>107</v>
      </c>
      <c r="E3" t="s">
        <v>106</v>
      </c>
    </row>
    <row r="4" spans="2:5" x14ac:dyDescent="0.25">
      <c r="B4" t="s">
        <v>17</v>
      </c>
      <c r="C4" t="s">
        <v>16</v>
      </c>
      <c r="D4">
        <f>AVERAGEIFS(tasks_table[Prompt Verbosity ('#tokens)], tasks_table[Reasoning Style], helper_table_1[[#This Row],[Reasoning Style]], tasks_table[Example Context], helper_table_1[[#This Row],[Example Context]])</f>
        <v>29.1</v>
      </c>
      <c r="E4">
        <f>AVERAGEIFS(tasks_table[Response Verbosity ('#tokens)], tasks_table[Reasoning Style], helper_table_1[[#This Row],[Reasoning Style]], tasks_table[Example Context], helper_table_1[[#This Row],[Example Context]])</f>
        <v>161</v>
      </c>
    </row>
    <row r="5" spans="2:5" x14ac:dyDescent="0.25">
      <c r="B5" t="s">
        <v>17</v>
      </c>
      <c r="C5" t="s">
        <v>18</v>
      </c>
      <c r="D5">
        <f>AVERAGEIFS(tasks_table[Prompt Verbosity ('#tokens)], tasks_table[Reasoning Style], helper_table_1[[#This Row],[Reasoning Style]], tasks_table[Example Context], helper_table_1[[#This Row],[Example Context]])</f>
        <v>77.45</v>
      </c>
      <c r="E5">
        <f>AVERAGEIFS(tasks_table[Response Verbosity ('#tokens)], tasks_table[Reasoning Style], helper_table_1[[#This Row],[Reasoning Style]], tasks_table[Example Context], helper_table_1[[#This Row],[Example Context]])</f>
        <v>172.1</v>
      </c>
    </row>
    <row r="6" spans="2:5" x14ac:dyDescent="0.25">
      <c r="B6" t="s">
        <v>19</v>
      </c>
      <c r="C6" t="s">
        <v>16</v>
      </c>
      <c r="D6">
        <f>AVERAGEIFS(tasks_table[Prompt Verbosity ('#tokens)], tasks_table[Reasoning Style], helper_table_1[[#This Row],[Reasoning Style]], tasks_table[Example Context], helper_table_1[[#This Row],[Example Context]])</f>
        <v>72.400000000000006</v>
      </c>
      <c r="E6">
        <f>AVERAGEIFS(tasks_table[Response Verbosity ('#tokens)], tasks_table[Reasoning Style], helper_table_1[[#This Row],[Reasoning Style]], tasks_table[Example Context], helper_table_1[[#This Row],[Example Context]])</f>
        <v>288.10000000000002</v>
      </c>
    </row>
    <row r="7" spans="2:5" x14ac:dyDescent="0.25">
      <c r="B7" t="s">
        <v>19</v>
      </c>
      <c r="C7" t="s">
        <v>18</v>
      </c>
      <c r="D7">
        <f>AVERAGEIFS(tasks_table[Prompt Verbosity ('#tokens)], tasks_table[Reasoning Style], helper_table_1[[#This Row],[Reasoning Style]], tasks_table[Example Context], helper_table_1[[#This Row],[Example Context]])</f>
        <v>361.65</v>
      </c>
      <c r="E7">
        <f>AVERAGEIFS(tasks_table[Response Verbosity ('#tokens)], tasks_table[Reasoning Style], helper_table_1[[#This Row],[Reasoning Style]], tasks_table[Example Context], helper_table_1[[#This Row],[Example Context]])</f>
        <v>322.3</v>
      </c>
    </row>
  </sheetData>
  <mergeCells count="1">
    <mergeCell ref="B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Raw Data (General)</vt:lpstr>
      <vt:lpstr>Raw Data (Acc.)</vt:lpstr>
      <vt:lpstr>Means</vt:lpstr>
      <vt:lpstr>Figure 1 Table</vt:lpstr>
      <vt:lpstr>Figure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Koorosh Nobakhtfar</dc:creator>
  <cp:lastModifiedBy>Koorosh Nobakhtfar</cp:lastModifiedBy>
  <dcterms:created xsi:type="dcterms:W3CDTF">2015-06-05T18:17:20Z</dcterms:created>
  <dcterms:modified xsi:type="dcterms:W3CDTF">2025-11-24T19:02:14Z</dcterms:modified>
</cp:coreProperties>
</file>