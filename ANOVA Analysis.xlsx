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bak\Desktop\Currently Writing\Prompt Engineering Research\Prompt Records\"/>
    </mc:Choice>
  </mc:AlternateContent>
  <xr:revisionPtr revIDLastSave="0" documentId="13_ncr:1_{1BD26604-2493-4033-8752-9399470CA5D2}" xr6:coauthVersionLast="47" xr6:coauthVersionMax="47" xr10:uidLastSave="{00000000-0000-0000-0000-000000000000}"/>
  <bookViews>
    <workbookView xWindow="-120" yWindow="-120" windowWidth="29040" windowHeight="15720" tabRatio="739" xr2:uid="{921E628C-7A5D-4E57-91AF-F2B7E053CCAF}"/>
  </bookViews>
  <sheets>
    <sheet name="ANOVA Result (Verb. Resp.)" sheetId="2" r:id="rId1"/>
    <sheet name="ANOVA Table (Verb. Resp.)" sheetId="1" r:id="rId2"/>
    <sheet name="ANOVA Result (Cost)" sheetId="4" r:id="rId3"/>
    <sheet name="ANOVA Table (Cost)" sheetId="3" r:id="rId4"/>
    <sheet name="ANOVA Result (Verb. Ppt.)" sheetId="6" r:id="rId5"/>
    <sheet name="ANOVA Table (Verb. Ppt.)" sheetId="5" r:id="rId6"/>
    <sheet name="ANOVA Result (Eval.1 Acc.)" sheetId="9" r:id="rId7"/>
    <sheet name="ANOVA Table (Eval.1 Acc.)" sheetId="8" r:id="rId8"/>
    <sheet name="ANOVA Result (Eval.2 Acc.)" sheetId="11" r:id="rId9"/>
    <sheet name="ANOVA Table (Eval.2 Acc.)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1" l="1"/>
  <c r="I27" i="11"/>
  <c r="H27" i="11"/>
  <c r="J26" i="11"/>
  <c r="I26" i="11"/>
  <c r="H26" i="11"/>
  <c r="J25" i="11"/>
  <c r="I25" i="11"/>
  <c r="H25" i="11"/>
  <c r="J27" i="9"/>
  <c r="I27" i="9"/>
  <c r="H27" i="9"/>
  <c r="J26" i="9"/>
  <c r="I26" i="9"/>
  <c r="H26" i="9"/>
  <c r="J25" i="9"/>
  <c r="I25" i="9"/>
  <c r="H25" i="9"/>
  <c r="J27" i="6"/>
  <c r="I27" i="6"/>
  <c r="H27" i="6"/>
  <c r="J26" i="6"/>
  <c r="I26" i="6"/>
  <c r="H26" i="6"/>
  <c r="J25" i="6"/>
  <c r="I25" i="6"/>
  <c r="H25" i="6"/>
  <c r="J27" i="4"/>
  <c r="I27" i="4"/>
  <c r="H27" i="4"/>
  <c r="J26" i="4"/>
  <c r="I26" i="4"/>
  <c r="H26" i="4"/>
  <c r="J25" i="4"/>
  <c r="I25" i="4"/>
  <c r="H25" i="4"/>
  <c r="H25" i="2"/>
  <c r="J27" i="2"/>
  <c r="J26" i="2"/>
  <c r="J25" i="2"/>
  <c r="H27" i="2"/>
  <c r="H26" i="2"/>
  <c r="I27" i="2"/>
  <c r="I26" i="2"/>
  <c r="I25" i="2"/>
</calcChain>
</file>

<file path=xl/sharedStrings.xml><?xml version="1.0" encoding="utf-8"?>
<sst xmlns="http://schemas.openxmlformats.org/spreadsheetml/2006/main" count="200" uniqueCount="26">
  <si>
    <t>Few-shot</t>
  </si>
  <si>
    <t>Zero-shot</t>
  </si>
  <si>
    <t>CoT</t>
  </si>
  <si>
    <t>Non-CoT</t>
  </si>
  <si>
    <t>Total</t>
  </si>
  <si>
    <t>Within</t>
  </si>
  <si>
    <t>Interaction</t>
  </si>
  <si>
    <t>Columns</t>
  </si>
  <si>
    <t>Sample</t>
  </si>
  <si>
    <t>F crit</t>
  </si>
  <si>
    <t>P-value</t>
  </si>
  <si>
    <t>F</t>
  </si>
  <si>
    <t>MS</t>
  </si>
  <si>
    <t>df</t>
  </si>
  <si>
    <t>SS</t>
  </si>
  <si>
    <t>Source of Variation</t>
  </si>
  <si>
    <t>ANOVA</t>
  </si>
  <si>
    <t>Variance</t>
  </si>
  <si>
    <t>Average</t>
  </si>
  <si>
    <t>Sum</t>
  </si>
  <si>
    <t>Count</t>
  </si>
  <si>
    <t>SUMMARY</t>
  </si>
  <si>
    <t>Anova: Two-Factor With Replication</t>
  </si>
  <si>
    <r>
      <t>Partial η</t>
    </r>
    <r>
      <rPr>
        <i/>
        <vertAlign val="superscript"/>
        <sz val="11"/>
        <color theme="1"/>
        <rFont val="Calibri"/>
        <family val="2"/>
        <scheme val="minor"/>
      </rPr>
      <t>2</t>
    </r>
  </si>
  <si>
    <r>
      <t>η</t>
    </r>
    <r>
      <rPr>
        <i/>
        <vertAlign val="superscript"/>
        <sz val="11"/>
        <color theme="1"/>
        <rFont val="Calibri"/>
        <family val="2"/>
        <scheme val="minor"/>
      </rPr>
      <t>2</t>
    </r>
  </si>
  <si>
    <r>
      <t>ω</t>
    </r>
    <r>
      <rPr>
        <i/>
        <vertAlign val="superscript"/>
        <sz val="11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</si>
</sst>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666E-A891-49E9-AC27-DC84A6BDE729}">
  <dimension ref="A1:J30"/>
  <sheetViews>
    <sheetView tabSelected="1" workbookViewId="0">
      <selection activeCell="A32" sqref="A32"/>
    </sheetView>
  </sheetViews>
  <sheetFormatPr defaultRowHeight="15" x14ac:dyDescent="0.25"/>
  <cols>
    <col min="1" max="1" width="33.28515625" bestFit="1" customWidth="1"/>
    <col min="2" max="9" width="12" bestFit="1" customWidth="1"/>
    <col min="10" max="10" width="12.7109375" bestFit="1" customWidth="1"/>
    <col min="11" max="11" width="12.28515625" customWidth="1"/>
  </cols>
  <sheetData>
    <row r="1" spans="1:4" x14ac:dyDescent="0.25">
      <c r="A1" t="s">
        <v>22</v>
      </c>
    </row>
    <row r="3" spans="1:4" x14ac:dyDescent="0.25">
      <c r="A3" t="s">
        <v>21</v>
      </c>
      <c r="B3" t="s">
        <v>3</v>
      </c>
      <c r="C3" t="s">
        <v>2</v>
      </c>
      <c r="D3" t="s">
        <v>4</v>
      </c>
    </row>
    <row r="4" spans="1:4" ht="15.75" thickBot="1" x14ac:dyDescent="0.3">
      <c r="A4" s="5" t="s">
        <v>1</v>
      </c>
      <c r="B4" s="5"/>
      <c r="C4" s="5"/>
      <c r="D4" s="5"/>
    </row>
    <row r="5" spans="1:4" x14ac:dyDescent="0.25">
      <c r="A5" t="s">
        <v>20</v>
      </c>
      <c r="B5">
        <v>20</v>
      </c>
      <c r="C5">
        <v>20</v>
      </c>
      <c r="D5">
        <v>40</v>
      </c>
    </row>
    <row r="6" spans="1:4" x14ac:dyDescent="0.25">
      <c r="A6" t="s">
        <v>19</v>
      </c>
      <c r="B6">
        <v>3220</v>
      </c>
      <c r="C6">
        <v>5762</v>
      </c>
      <c r="D6">
        <v>8982</v>
      </c>
    </row>
    <row r="7" spans="1:4" x14ac:dyDescent="0.25">
      <c r="A7" t="s">
        <v>18</v>
      </c>
      <c r="B7">
        <v>161</v>
      </c>
      <c r="C7">
        <v>288.10000000000002</v>
      </c>
      <c r="D7">
        <v>224.55</v>
      </c>
    </row>
    <row r="8" spans="1:4" x14ac:dyDescent="0.25">
      <c r="A8" t="s">
        <v>17</v>
      </c>
      <c r="B8">
        <v>3191.6842105263158</v>
      </c>
      <c r="C8">
        <v>19337.989473684214</v>
      </c>
      <c r="D8">
        <v>15118.15128205128</v>
      </c>
    </row>
    <row r="10" spans="1:4" ht="15.75" thickBot="1" x14ac:dyDescent="0.3">
      <c r="A10" s="5" t="s">
        <v>0</v>
      </c>
      <c r="B10" s="5"/>
      <c r="C10" s="5"/>
      <c r="D10" s="5"/>
    </row>
    <row r="11" spans="1:4" x14ac:dyDescent="0.25">
      <c r="A11" t="s">
        <v>20</v>
      </c>
      <c r="B11">
        <v>20</v>
      </c>
      <c r="C11">
        <v>20</v>
      </c>
      <c r="D11">
        <v>40</v>
      </c>
    </row>
    <row r="12" spans="1:4" x14ac:dyDescent="0.25">
      <c r="A12" t="s">
        <v>19</v>
      </c>
      <c r="B12">
        <v>3442</v>
      </c>
      <c r="C12">
        <v>6446</v>
      </c>
      <c r="D12">
        <v>9888</v>
      </c>
    </row>
    <row r="13" spans="1:4" x14ac:dyDescent="0.25">
      <c r="A13" t="s">
        <v>18</v>
      </c>
      <c r="B13">
        <v>172.1</v>
      </c>
      <c r="C13">
        <v>322.3</v>
      </c>
      <c r="D13">
        <v>247.2</v>
      </c>
    </row>
    <row r="14" spans="1:4" x14ac:dyDescent="0.25">
      <c r="A14" t="s">
        <v>17</v>
      </c>
      <c r="B14">
        <v>5853.2526315789501</v>
      </c>
      <c r="C14">
        <v>13914.536842105261</v>
      </c>
      <c r="D14">
        <v>15415.087179487176</v>
      </c>
    </row>
    <row r="16" spans="1:4" ht="15.75" thickBot="1" x14ac:dyDescent="0.3">
      <c r="A16" s="5" t="s">
        <v>4</v>
      </c>
      <c r="B16" s="5"/>
      <c r="C16" s="5"/>
      <c r="D16" s="5"/>
    </row>
    <row r="17" spans="1:10" x14ac:dyDescent="0.25">
      <c r="A17" t="s">
        <v>20</v>
      </c>
      <c r="B17">
        <v>40</v>
      </c>
      <c r="C17">
        <v>40</v>
      </c>
    </row>
    <row r="18" spans="1:10" x14ac:dyDescent="0.25">
      <c r="A18" t="s">
        <v>19</v>
      </c>
      <c r="B18">
        <v>6662</v>
      </c>
      <c r="C18">
        <v>12208</v>
      </c>
    </row>
    <row r="19" spans="1:10" x14ac:dyDescent="0.25">
      <c r="A19" t="s">
        <v>18</v>
      </c>
      <c r="B19">
        <v>166.55</v>
      </c>
      <c r="C19">
        <v>305.2</v>
      </c>
    </row>
    <row r="20" spans="1:10" x14ac:dyDescent="0.25">
      <c r="A20" t="s">
        <v>17</v>
      </c>
      <c r="B20">
        <v>4438.0999999999976</v>
      </c>
      <c r="C20">
        <v>16499.856410256409</v>
      </c>
    </row>
    <row r="23" spans="1:10" ht="15.75" thickBot="1" x14ac:dyDescent="0.3">
      <c r="A23" t="s">
        <v>16</v>
      </c>
    </row>
    <row r="24" spans="1:10" ht="17.25" x14ac:dyDescent="0.25">
      <c r="A24" s="4" t="s">
        <v>15</v>
      </c>
      <c r="B24" s="4" t="s">
        <v>14</v>
      </c>
      <c r="C24" s="4" t="s">
        <v>13</v>
      </c>
      <c r="D24" s="4" t="s">
        <v>12</v>
      </c>
      <c r="E24" s="4" t="s">
        <v>11</v>
      </c>
      <c r="F24" s="4" t="s">
        <v>10</v>
      </c>
      <c r="G24" s="4" t="s">
        <v>9</v>
      </c>
      <c r="H24" s="4" t="s">
        <v>24</v>
      </c>
      <c r="I24" s="4" t="s">
        <v>23</v>
      </c>
      <c r="J24" s="4" t="s">
        <v>25</v>
      </c>
    </row>
    <row r="25" spans="1:10" x14ac:dyDescent="0.25">
      <c r="A25" t="s">
        <v>8</v>
      </c>
      <c r="B25">
        <v>10260.450000000186</v>
      </c>
      <c r="C25">
        <v>1</v>
      </c>
      <c r="D25">
        <v>10260.450000000186</v>
      </c>
      <c r="E25">
        <v>0.97031351139885991</v>
      </c>
      <c r="F25">
        <v>0.32772763040941544</v>
      </c>
      <c r="G25">
        <v>3.9667597840087825</v>
      </c>
      <c r="H25">
        <f>B25/B30</f>
        <v>8.5428519510008048E-3</v>
      </c>
      <c r="I25">
        <f>B25/(B25+B28)</f>
        <v>1.2606334405214057E-2</v>
      </c>
      <c r="J25">
        <f>(B25-(C25*D28))/(B30+D28)</f>
        <v>-2.5908528213139793E-4</v>
      </c>
    </row>
    <row r="26" spans="1:10" x14ac:dyDescent="0.25">
      <c r="A26" t="s">
        <v>7</v>
      </c>
      <c r="B26">
        <v>384476.44999999984</v>
      </c>
      <c r="C26">
        <v>1</v>
      </c>
      <c r="D26">
        <v>384476.44999999984</v>
      </c>
      <c r="E26">
        <v>36.359291673334141</v>
      </c>
      <c r="F26">
        <v>5.5196751720523982E-8</v>
      </c>
      <c r="G26">
        <v>3.9667597840087825</v>
      </c>
      <c r="H26">
        <f>B26/B30</f>
        <v>0.32011514027126514</v>
      </c>
      <c r="I26">
        <f>B26/(B26+B28)</f>
        <v>0.3235984414982136</v>
      </c>
      <c r="J26">
        <f>(B26-(C26*D28))/(B30+D28)</f>
        <v>0.30859399312050456</v>
      </c>
    </row>
    <row r="27" spans="1:10" x14ac:dyDescent="0.25">
      <c r="A27" t="s">
        <v>6</v>
      </c>
      <c r="B27">
        <v>2668.0500000000466</v>
      </c>
      <c r="C27">
        <v>1</v>
      </c>
      <c r="D27">
        <v>2668.0500000000466</v>
      </c>
      <c r="E27">
        <v>0.25231300421401853</v>
      </c>
      <c r="F27">
        <v>0.61690343392075708</v>
      </c>
      <c r="G27">
        <v>3.9667597840087825</v>
      </c>
      <c r="H27">
        <f>B27/B30</f>
        <v>2.2214187631017825E-3</v>
      </c>
      <c r="I27">
        <f>B27/(B27+B28)</f>
        <v>3.30892263163315E-3</v>
      </c>
      <c r="J27">
        <f>(B27-(C27*D28))/(B30+D28)</f>
        <v>-6.5253489172090503E-3</v>
      </c>
    </row>
    <row r="28" spans="1:10" x14ac:dyDescent="0.25">
      <c r="A28" t="s">
        <v>5</v>
      </c>
      <c r="B28">
        <v>803651.79999999993</v>
      </c>
      <c r="C28">
        <v>76</v>
      </c>
      <c r="D28">
        <v>10574.365789473683</v>
      </c>
    </row>
    <row r="30" spans="1:10" ht="15.75" thickBot="1" x14ac:dyDescent="0.3">
      <c r="A30" s="3" t="s">
        <v>4</v>
      </c>
      <c r="B30" s="3">
        <v>1201056.75</v>
      </c>
      <c r="C30" s="3">
        <v>79</v>
      </c>
      <c r="D30" s="3"/>
      <c r="E30" s="3"/>
      <c r="F30" s="3"/>
      <c r="G30" s="3"/>
      <c r="H30" s="3"/>
      <c r="I30" s="3"/>
      <c r="J3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3266-EABD-4899-9BD9-0C5B4692B255}">
  <dimension ref="B2:F42"/>
  <sheetViews>
    <sheetView workbookViewId="0">
      <selection activeCell="B2" sqref="B2"/>
    </sheetView>
  </sheetViews>
  <sheetFormatPr defaultColWidth="11.42578125" defaultRowHeight="15" x14ac:dyDescent="0.25"/>
  <sheetData>
    <row r="2" spans="2:6" x14ac:dyDescent="0.25">
      <c r="B2" s="2"/>
      <c r="C2" s="2" t="s">
        <v>3</v>
      </c>
      <c r="D2" s="2" t="s">
        <v>2</v>
      </c>
      <c r="E2" s="2"/>
      <c r="F2" s="2"/>
    </row>
    <row r="3" spans="2:6" x14ac:dyDescent="0.25">
      <c r="B3" s="1" t="s">
        <v>1</v>
      </c>
      <c r="C3">
        <v>143</v>
      </c>
      <c r="D3" s="1">
        <v>217</v>
      </c>
      <c r="F3" s="1"/>
    </row>
    <row r="4" spans="2:6" x14ac:dyDescent="0.25">
      <c r="C4">
        <v>86</v>
      </c>
      <c r="D4">
        <v>154</v>
      </c>
      <c r="E4" s="1"/>
      <c r="F4" s="1"/>
    </row>
    <row r="5" spans="2:6" x14ac:dyDescent="0.25">
      <c r="C5">
        <v>146</v>
      </c>
      <c r="D5">
        <v>385</v>
      </c>
    </row>
    <row r="6" spans="2:6" x14ac:dyDescent="0.25">
      <c r="C6">
        <v>156</v>
      </c>
      <c r="D6">
        <v>328</v>
      </c>
    </row>
    <row r="7" spans="2:6" x14ac:dyDescent="0.25">
      <c r="C7">
        <v>121</v>
      </c>
      <c r="D7">
        <v>239</v>
      </c>
    </row>
    <row r="8" spans="2:6" x14ac:dyDescent="0.25">
      <c r="C8">
        <v>90</v>
      </c>
      <c r="D8">
        <v>134</v>
      </c>
    </row>
    <row r="9" spans="2:6" x14ac:dyDescent="0.25">
      <c r="C9">
        <v>100</v>
      </c>
      <c r="D9">
        <v>207</v>
      </c>
    </row>
    <row r="10" spans="2:6" x14ac:dyDescent="0.25">
      <c r="C10">
        <v>148</v>
      </c>
      <c r="D10">
        <v>130</v>
      </c>
    </row>
    <row r="11" spans="2:6" x14ac:dyDescent="0.25">
      <c r="C11">
        <v>111</v>
      </c>
      <c r="D11">
        <v>132</v>
      </c>
    </row>
    <row r="12" spans="2:6" x14ac:dyDescent="0.25">
      <c r="C12">
        <v>149</v>
      </c>
      <c r="D12">
        <v>185</v>
      </c>
    </row>
    <row r="13" spans="2:6" x14ac:dyDescent="0.25">
      <c r="C13">
        <v>148</v>
      </c>
      <c r="D13">
        <v>392</v>
      </c>
    </row>
    <row r="14" spans="2:6" x14ac:dyDescent="0.25">
      <c r="C14">
        <v>212</v>
      </c>
      <c r="D14">
        <v>288</v>
      </c>
    </row>
    <row r="15" spans="2:6" x14ac:dyDescent="0.25">
      <c r="C15">
        <v>133</v>
      </c>
      <c r="D15">
        <v>260</v>
      </c>
    </row>
    <row r="16" spans="2:6" x14ac:dyDescent="0.25">
      <c r="C16">
        <v>207</v>
      </c>
      <c r="D16">
        <v>345</v>
      </c>
    </row>
    <row r="17" spans="2:4" x14ac:dyDescent="0.25">
      <c r="C17">
        <v>151</v>
      </c>
      <c r="D17">
        <v>258</v>
      </c>
    </row>
    <row r="18" spans="2:4" x14ac:dyDescent="0.25">
      <c r="C18">
        <v>210</v>
      </c>
      <c r="D18">
        <v>369</v>
      </c>
    </row>
    <row r="19" spans="2:4" x14ac:dyDescent="0.25">
      <c r="C19">
        <v>231</v>
      </c>
      <c r="D19">
        <v>409</v>
      </c>
    </row>
    <row r="20" spans="2:4" x14ac:dyDescent="0.25">
      <c r="C20">
        <v>147</v>
      </c>
      <c r="D20">
        <v>309</v>
      </c>
    </row>
    <row r="21" spans="2:4" x14ac:dyDescent="0.25">
      <c r="C21">
        <v>210</v>
      </c>
      <c r="D21">
        <v>739</v>
      </c>
    </row>
    <row r="22" spans="2:4" x14ac:dyDescent="0.25">
      <c r="C22">
        <v>321</v>
      </c>
      <c r="D22">
        <v>282</v>
      </c>
    </row>
    <row r="23" spans="2:4" x14ac:dyDescent="0.25">
      <c r="B23" s="1" t="s">
        <v>0</v>
      </c>
      <c r="C23" s="1">
        <v>198</v>
      </c>
      <c r="D23" s="1">
        <v>181</v>
      </c>
    </row>
    <row r="24" spans="2:4" x14ac:dyDescent="0.25">
      <c r="C24">
        <v>88</v>
      </c>
      <c r="D24">
        <v>92</v>
      </c>
    </row>
    <row r="25" spans="2:4" x14ac:dyDescent="0.25">
      <c r="C25">
        <v>277</v>
      </c>
      <c r="D25">
        <v>394</v>
      </c>
    </row>
    <row r="26" spans="2:4" x14ac:dyDescent="0.25">
      <c r="C26">
        <v>149</v>
      </c>
      <c r="D26">
        <v>395</v>
      </c>
    </row>
    <row r="27" spans="2:4" x14ac:dyDescent="0.25">
      <c r="C27">
        <v>101</v>
      </c>
      <c r="D27">
        <v>328</v>
      </c>
    </row>
    <row r="28" spans="2:4" x14ac:dyDescent="0.25">
      <c r="C28">
        <v>24</v>
      </c>
      <c r="D28">
        <v>151</v>
      </c>
    </row>
    <row r="29" spans="2:4" x14ac:dyDescent="0.25">
      <c r="C29">
        <v>88</v>
      </c>
      <c r="D29">
        <v>242</v>
      </c>
    </row>
    <row r="30" spans="2:4" x14ac:dyDescent="0.25">
      <c r="C30">
        <v>138</v>
      </c>
      <c r="D30">
        <v>350</v>
      </c>
    </row>
    <row r="31" spans="2:4" x14ac:dyDescent="0.25">
      <c r="C31">
        <v>96</v>
      </c>
      <c r="D31">
        <v>343</v>
      </c>
    </row>
    <row r="32" spans="2:4" x14ac:dyDescent="0.25">
      <c r="C32">
        <v>120</v>
      </c>
      <c r="D32">
        <v>237</v>
      </c>
    </row>
    <row r="33" spans="3:4" x14ac:dyDescent="0.25">
      <c r="C33">
        <v>133</v>
      </c>
      <c r="D33">
        <v>237</v>
      </c>
    </row>
    <row r="34" spans="3:4" x14ac:dyDescent="0.25">
      <c r="C34">
        <v>308</v>
      </c>
      <c r="D34">
        <v>328</v>
      </c>
    </row>
    <row r="35" spans="3:4" x14ac:dyDescent="0.25">
      <c r="C35">
        <v>215</v>
      </c>
      <c r="D35">
        <v>403</v>
      </c>
    </row>
    <row r="36" spans="3:4" x14ac:dyDescent="0.25">
      <c r="C36">
        <v>225</v>
      </c>
      <c r="D36">
        <v>378</v>
      </c>
    </row>
    <row r="37" spans="3:4" x14ac:dyDescent="0.25">
      <c r="C37">
        <v>144</v>
      </c>
      <c r="D37">
        <v>483</v>
      </c>
    </row>
    <row r="38" spans="3:4" x14ac:dyDescent="0.25">
      <c r="C38">
        <v>286</v>
      </c>
      <c r="D38">
        <v>360</v>
      </c>
    </row>
    <row r="39" spans="3:4" x14ac:dyDescent="0.25">
      <c r="C39">
        <v>234</v>
      </c>
      <c r="D39">
        <v>226</v>
      </c>
    </row>
    <row r="40" spans="3:4" x14ac:dyDescent="0.25">
      <c r="C40">
        <v>165</v>
      </c>
      <c r="D40">
        <v>281</v>
      </c>
    </row>
    <row r="41" spans="3:4" x14ac:dyDescent="0.25">
      <c r="C41">
        <v>227</v>
      </c>
      <c r="D41">
        <v>566</v>
      </c>
    </row>
    <row r="42" spans="3:4" x14ac:dyDescent="0.25">
      <c r="C42">
        <v>226</v>
      </c>
      <c r="D42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9F09-43D8-458D-A02E-9AE636F413C7}">
  <dimension ref="A1:J30"/>
  <sheetViews>
    <sheetView workbookViewId="0">
      <selection activeCell="A32" sqref="A32"/>
    </sheetView>
  </sheetViews>
  <sheetFormatPr defaultRowHeight="15" x14ac:dyDescent="0.25"/>
  <cols>
    <col min="1" max="1" width="33.28515625" bestFit="1" customWidth="1"/>
    <col min="2" max="10" width="12" bestFit="1" customWidth="1"/>
  </cols>
  <sheetData>
    <row r="1" spans="1:4" x14ac:dyDescent="0.25">
      <c r="A1" t="s">
        <v>22</v>
      </c>
    </row>
    <row r="3" spans="1:4" x14ac:dyDescent="0.25">
      <c r="A3" t="s">
        <v>21</v>
      </c>
      <c r="B3" t="s">
        <v>3</v>
      </c>
      <c r="C3" t="s">
        <v>2</v>
      </c>
      <c r="D3" t="s">
        <v>4</v>
      </c>
    </row>
    <row r="4" spans="1:4" ht="15.75" thickBot="1" x14ac:dyDescent="0.3">
      <c r="A4" s="5" t="s">
        <v>1</v>
      </c>
      <c r="B4" s="5"/>
      <c r="C4" s="5"/>
      <c r="D4" s="5"/>
    </row>
    <row r="5" spans="1:4" x14ac:dyDescent="0.25">
      <c r="A5" t="s">
        <v>20</v>
      </c>
      <c r="B5">
        <v>20</v>
      </c>
      <c r="C5">
        <v>20</v>
      </c>
      <c r="D5">
        <v>40</v>
      </c>
    </row>
    <row r="6" spans="1:4" x14ac:dyDescent="0.25">
      <c r="A6" t="s">
        <v>19</v>
      </c>
      <c r="B6">
        <v>3.2927499999999998E-2</v>
      </c>
      <c r="C6">
        <v>5.9430000000000004E-2</v>
      </c>
      <c r="D6">
        <v>9.2357499999999981E-2</v>
      </c>
    </row>
    <row r="7" spans="1:4" x14ac:dyDescent="0.25">
      <c r="A7" t="s">
        <v>18</v>
      </c>
      <c r="B7">
        <v>1.6463749999999998E-3</v>
      </c>
      <c r="C7">
        <v>2.9715000000000002E-3</v>
      </c>
      <c r="D7">
        <v>2.3089374999999994E-3</v>
      </c>
    </row>
    <row r="8" spans="1:4" x14ac:dyDescent="0.25">
      <c r="A8" t="s">
        <v>17</v>
      </c>
      <c r="B8">
        <v>3.2305327302631587E-7</v>
      </c>
      <c r="C8">
        <v>1.9765218092105261E-6</v>
      </c>
      <c r="D8">
        <v>1.5705510056089742E-6</v>
      </c>
    </row>
    <row r="10" spans="1:4" ht="15.75" thickBot="1" x14ac:dyDescent="0.3">
      <c r="A10" s="5" t="s">
        <v>0</v>
      </c>
      <c r="B10" s="5"/>
      <c r="C10" s="5"/>
      <c r="D10" s="5"/>
    </row>
    <row r="11" spans="1:4" x14ac:dyDescent="0.25">
      <c r="A11" t="s">
        <v>20</v>
      </c>
      <c r="B11">
        <v>20</v>
      </c>
      <c r="C11">
        <v>20</v>
      </c>
      <c r="D11">
        <v>40</v>
      </c>
    </row>
    <row r="12" spans="1:4" x14ac:dyDescent="0.25">
      <c r="A12" t="s">
        <v>19</v>
      </c>
      <c r="B12">
        <v>3.635625E-2</v>
      </c>
      <c r="C12">
        <v>7.3501250000000004E-2</v>
      </c>
      <c r="D12">
        <v>0.10985750000000002</v>
      </c>
    </row>
    <row r="13" spans="1:4" x14ac:dyDescent="0.25">
      <c r="A13" t="s">
        <v>18</v>
      </c>
      <c r="B13">
        <v>1.8178125E-3</v>
      </c>
      <c r="C13">
        <v>3.6750625000000004E-3</v>
      </c>
      <c r="D13">
        <v>2.7464375000000006E-3</v>
      </c>
    </row>
    <row r="14" spans="1:4" x14ac:dyDescent="0.25">
      <c r="A14" t="s">
        <v>17</v>
      </c>
      <c r="B14">
        <v>5.930616570723684E-7</v>
      </c>
      <c r="C14">
        <v>1.7452583018092107E-6</v>
      </c>
      <c r="D14">
        <v>2.0236373036858979E-6</v>
      </c>
    </row>
    <row r="16" spans="1:4" ht="15.75" thickBot="1" x14ac:dyDescent="0.3">
      <c r="A16" s="5" t="s">
        <v>4</v>
      </c>
      <c r="B16" s="5"/>
      <c r="C16" s="5"/>
      <c r="D16" s="5"/>
    </row>
    <row r="17" spans="1:10" x14ac:dyDescent="0.25">
      <c r="A17" t="s">
        <v>20</v>
      </c>
      <c r="B17">
        <v>40</v>
      </c>
      <c r="C17">
        <v>40</v>
      </c>
    </row>
    <row r="18" spans="1:10" x14ac:dyDescent="0.25">
      <c r="A18" t="s">
        <v>19</v>
      </c>
      <c r="B18">
        <v>6.9283750000000005E-2</v>
      </c>
      <c r="C18">
        <v>0.13293125</v>
      </c>
    </row>
    <row r="19" spans="1:10" x14ac:dyDescent="0.25">
      <c r="A19" t="s">
        <v>18</v>
      </c>
      <c r="B19">
        <v>1.7320937500000001E-3</v>
      </c>
      <c r="C19">
        <v>3.3232812499999998E-3</v>
      </c>
    </row>
    <row r="20" spans="1:10" x14ac:dyDescent="0.25">
      <c r="A20" t="s">
        <v>17</v>
      </c>
      <c r="B20">
        <v>4.5384850861378219E-7</v>
      </c>
      <c r="C20">
        <v>1.9400980518830129E-6</v>
      </c>
    </row>
    <row r="23" spans="1:10" ht="15.75" thickBot="1" x14ac:dyDescent="0.3">
      <c r="A23" t="s">
        <v>16</v>
      </c>
    </row>
    <row r="24" spans="1:10" ht="17.25" x14ac:dyDescent="0.25">
      <c r="A24" s="4" t="s">
        <v>15</v>
      </c>
      <c r="B24" s="4" t="s">
        <v>14</v>
      </c>
      <c r="C24" s="4" t="s">
        <v>13</v>
      </c>
      <c r="D24" s="4" t="s">
        <v>12</v>
      </c>
      <c r="E24" s="4" t="s">
        <v>11</v>
      </c>
      <c r="F24" s="4" t="s">
        <v>10</v>
      </c>
      <c r="G24" s="4" t="s">
        <v>9</v>
      </c>
      <c r="H24" s="4" t="s">
        <v>24</v>
      </c>
      <c r="I24" s="4" t="s">
        <v>23</v>
      </c>
      <c r="J24" s="4" t="s">
        <v>25</v>
      </c>
    </row>
    <row r="25" spans="1:10" x14ac:dyDescent="0.25">
      <c r="A25" t="s">
        <v>8</v>
      </c>
      <c r="B25">
        <v>3.8281249999999524E-6</v>
      </c>
      <c r="C25">
        <v>1</v>
      </c>
      <c r="D25">
        <v>3.8281249999999524E-6</v>
      </c>
      <c r="E25">
        <v>3.3016055482590705</v>
      </c>
      <c r="F25">
        <v>7.3154339842901178E-2</v>
      </c>
      <c r="G25">
        <v>3.9667597840087825</v>
      </c>
      <c r="H25">
        <f>B25/B30</f>
        <v>2.6583930184340396E-2</v>
      </c>
      <c r="I25">
        <f>B25/(B25+B28)</f>
        <v>4.1633527157906976E-2</v>
      </c>
      <c r="J25">
        <f>(B25-(C25*D28))/(B30+D28)</f>
        <v>1.8384085883062794E-2</v>
      </c>
    </row>
    <row r="26" spans="1:10" x14ac:dyDescent="0.25">
      <c r="A26" t="s">
        <v>7</v>
      </c>
      <c r="B26">
        <v>5.0637553203124961E-5</v>
      </c>
      <c r="C26">
        <v>1</v>
      </c>
      <c r="D26">
        <v>5.0637553203124961E-5</v>
      </c>
      <c r="E26">
        <v>43.672875521489843</v>
      </c>
      <c r="F26">
        <v>4.7518502093069089E-9</v>
      </c>
      <c r="G26">
        <v>3.9667597840087825</v>
      </c>
      <c r="H26">
        <f>B26/B30</f>
        <v>0.3516460875905863</v>
      </c>
      <c r="I26">
        <f>B26/(B26+B28)</f>
        <v>0.36493545702131508</v>
      </c>
      <c r="J26">
        <f>(B26-(C26*D28))/(B30+D28)</f>
        <v>0.34084980767347944</v>
      </c>
    </row>
    <row r="27" spans="1:10" x14ac:dyDescent="0.25">
      <c r="A27" t="s">
        <v>6</v>
      </c>
      <c r="B27">
        <v>1.4157850781250402E-6</v>
      </c>
      <c r="C27">
        <v>1</v>
      </c>
      <c r="D27">
        <v>1.4157850781250402E-6</v>
      </c>
      <c r="E27">
        <v>1.2210583168209221</v>
      </c>
      <c r="F27">
        <v>0.27263908609031412</v>
      </c>
      <c r="G27">
        <v>3.9667597840087825</v>
      </c>
      <c r="H27">
        <f>B27/B30</f>
        <v>9.8317405186370485E-3</v>
      </c>
      <c r="I27">
        <f>B27/(B27+B28)</f>
        <v>1.5812504301756521E-2</v>
      </c>
      <c r="J27">
        <f>(B27-(C27*D28))/(B30+D28)</f>
        <v>1.7657044164996489E-3</v>
      </c>
    </row>
    <row r="28" spans="1:10" x14ac:dyDescent="0.25">
      <c r="A28" t="s">
        <v>5</v>
      </c>
      <c r="B28">
        <v>8.8120005781250007E-5</v>
      </c>
      <c r="C28">
        <v>76</v>
      </c>
      <c r="D28">
        <v>1.1594737602796053E-6</v>
      </c>
    </row>
    <row r="30" spans="1:10" ht="15.75" thickBot="1" x14ac:dyDescent="0.3">
      <c r="A30" s="3" t="s">
        <v>4</v>
      </c>
      <c r="B30" s="3">
        <v>1.4400146906249996E-4</v>
      </c>
      <c r="C30" s="3">
        <v>79</v>
      </c>
      <c r="D30" s="3"/>
      <c r="E30" s="3"/>
      <c r="F30" s="3"/>
      <c r="G30" s="3"/>
      <c r="H30" s="3"/>
      <c r="I30" s="3"/>
      <c r="J3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1A7A-83FD-4BB9-8C49-53D86315DDBB}">
  <dimension ref="B2:F42"/>
  <sheetViews>
    <sheetView workbookViewId="0">
      <selection activeCell="B2" sqref="B2"/>
    </sheetView>
  </sheetViews>
  <sheetFormatPr defaultColWidth="11.5703125" defaultRowHeight="15" x14ac:dyDescent="0.25"/>
  <cols>
    <col min="2" max="2" width="11.7109375" customWidth="1"/>
    <col min="3" max="3" width="12.140625" customWidth="1"/>
    <col min="4" max="4" width="13.85546875" customWidth="1"/>
  </cols>
  <sheetData>
    <row r="2" spans="2:6" x14ac:dyDescent="0.25">
      <c r="B2" s="2"/>
      <c r="C2" s="2" t="s">
        <v>3</v>
      </c>
      <c r="D2" s="2" t="s">
        <v>2</v>
      </c>
      <c r="E2" s="2"/>
      <c r="F2" s="2"/>
    </row>
    <row r="3" spans="2:6" x14ac:dyDescent="0.25">
      <c r="B3" s="1" t="s">
        <v>1</v>
      </c>
      <c r="C3">
        <v>1.4625E-3</v>
      </c>
      <c r="D3" s="1">
        <v>2.2537500000000001E-3</v>
      </c>
      <c r="F3" s="1"/>
    </row>
    <row r="4" spans="2:6" x14ac:dyDescent="0.25">
      <c r="C4">
        <v>9.0375000000000004E-4</v>
      </c>
      <c r="D4">
        <v>1.5937500000000001E-3</v>
      </c>
      <c r="E4" s="1"/>
      <c r="F4" s="1"/>
    </row>
    <row r="5" spans="2:6" x14ac:dyDescent="0.25">
      <c r="C5">
        <v>1.49125E-3</v>
      </c>
      <c r="D5">
        <v>3.9212499999999994E-3</v>
      </c>
    </row>
    <row r="6" spans="2:6" x14ac:dyDescent="0.25">
      <c r="C6">
        <v>1.585E-3</v>
      </c>
      <c r="D6">
        <v>3.3300000000000001E-3</v>
      </c>
    </row>
    <row r="7" spans="2:6" x14ac:dyDescent="0.25">
      <c r="C7">
        <v>1.245E-3</v>
      </c>
      <c r="D7">
        <v>2.46875E-3</v>
      </c>
    </row>
    <row r="8" spans="2:6" x14ac:dyDescent="0.25">
      <c r="C8">
        <v>9.3250000000000006E-4</v>
      </c>
      <c r="D8">
        <v>1.4125000000000001E-3</v>
      </c>
    </row>
    <row r="9" spans="2:6" x14ac:dyDescent="0.25">
      <c r="C9">
        <v>1.0225E-3</v>
      </c>
      <c r="D9">
        <v>2.1299999999999999E-3</v>
      </c>
    </row>
    <row r="10" spans="2:6" x14ac:dyDescent="0.25">
      <c r="C10">
        <v>1.5249999999999999E-3</v>
      </c>
      <c r="D10">
        <v>1.3649999999999999E-3</v>
      </c>
    </row>
    <row r="11" spans="2:6" x14ac:dyDescent="0.25">
      <c r="C11">
        <v>1.15375E-3</v>
      </c>
      <c r="D11">
        <v>1.4350000000000001E-3</v>
      </c>
    </row>
    <row r="12" spans="2:6" x14ac:dyDescent="0.25">
      <c r="C12">
        <v>1.5275E-3</v>
      </c>
      <c r="D12">
        <v>1.92E-3</v>
      </c>
    </row>
    <row r="13" spans="2:6" x14ac:dyDescent="0.25">
      <c r="C13">
        <v>1.5175E-3</v>
      </c>
      <c r="D13">
        <v>4.0487500000000003E-3</v>
      </c>
    </row>
    <row r="14" spans="2:6" x14ac:dyDescent="0.25">
      <c r="C14">
        <v>2.1587500000000001E-3</v>
      </c>
      <c r="D14">
        <v>2.95875E-3</v>
      </c>
    </row>
    <row r="15" spans="2:6" x14ac:dyDescent="0.25">
      <c r="C15">
        <v>1.36125E-3</v>
      </c>
      <c r="D15">
        <v>2.6987499999999998E-3</v>
      </c>
    </row>
    <row r="16" spans="2:6" x14ac:dyDescent="0.25">
      <c r="C16">
        <v>2.1087499999999999E-3</v>
      </c>
      <c r="D16">
        <v>3.5425000000000001E-3</v>
      </c>
    </row>
    <row r="17" spans="2:4" x14ac:dyDescent="0.25">
      <c r="C17">
        <v>1.5425E-3</v>
      </c>
      <c r="D17">
        <v>2.6725E-3</v>
      </c>
    </row>
    <row r="18" spans="2:4" x14ac:dyDescent="0.25">
      <c r="C18">
        <v>2.1500000000000004E-3</v>
      </c>
      <c r="D18">
        <v>3.8512500000000001E-3</v>
      </c>
    </row>
    <row r="19" spans="2:4" x14ac:dyDescent="0.25">
      <c r="C19">
        <v>2.35125E-3</v>
      </c>
      <c r="D19">
        <v>4.2087499999999998E-3</v>
      </c>
    </row>
    <row r="20" spans="2:4" x14ac:dyDescent="0.25">
      <c r="C20">
        <v>1.5E-3</v>
      </c>
      <c r="D20">
        <v>3.1874999999999998E-3</v>
      </c>
    </row>
    <row r="21" spans="2:4" x14ac:dyDescent="0.25">
      <c r="C21">
        <v>2.1287500000000004E-3</v>
      </c>
      <c r="D21">
        <v>7.5174999999999999E-3</v>
      </c>
    </row>
    <row r="22" spans="2:4" x14ac:dyDescent="0.25">
      <c r="C22">
        <v>3.2600000000000003E-3</v>
      </c>
      <c r="D22">
        <v>2.9137500000000005E-3</v>
      </c>
    </row>
    <row r="23" spans="2:4" x14ac:dyDescent="0.25">
      <c r="B23" s="1" t="s">
        <v>0</v>
      </c>
      <c r="C23" s="1">
        <v>2.09625E-3</v>
      </c>
      <c r="D23" s="1">
        <v>2.0662499999999999E-3</v>
      </c>
    </row>
    <row r="24" spans="2:4" x14ac:dyDescent="0.25">
      <c r="C24">
        <v>9.5374999999999995E-4</v>
      </c>
      <c r="D24">
        <v>1.16E-3</v>
      </c>
    </row>
    <row r="25" spans="2:4" x14ac:dyDescent="0.25">
      <c r="C25">
        <v>2.8537499999999999E-3</v>
      </c>
      <c r="D25">
        <v>4.3262500000000002E-3</v>
      </c>
    </row>
    <row r="26" spans="2:4" x14ac:dyDescent="0.25">
      <c r="C26">
        <v>1.5675000000000001E-3</v>
      </c>
      <c r="D26">
        <v>4.1575000000000006E-3</v>
      </c>
    </row>
    <row r="27" spans="2:4" x14ac:dyDescent="0.25">
      <c r="C27">
        <v>1.1037500000000001E-3</v>
      </c>
      <c r="D27">
        <v>3.5025E-3</v>
      </c>
    </row>
    <row r="28" spans="2:4" x14ac:dyDescent="0.25">
      <c r="C28">
        <v>3.2749999999999999E-4</v>
      </c>
      <c r="D28">
        <v>1.68625E-3</v>
      </c>
    </row>
    <row r="29" spans="2:4" x14ac:dyDescent="0.25">
      <c r="C29">
        <v>9.6124999999999986E-4</v>
      </c>
      <c r="D29">
        <v>2.5574999999999999E-3</v>
      </c>
    </row>
    <row r="30" spans="2:4" x14ac:dyDescent="0.25">
      <c r="C30">
        <v>1.4562499999999999E-3</v>
      </c>
      <c r="D30">
        <v>3.7274999999999999E-3</v>
      </c>
    </row>
    <row r="31" spans="2:4" x14ac:dyDescent="0.25">
      <c r="C31">
        <v>1.0562500000000001E-3</v>
      </c>
      <c r="D31">
        <v>3.6099999999999999E-3</v>
      </c>
    </row>
    <row r="32" spans="2:4" x14ac:dyDescent="0.25">
      <c r="C32">
        <v>1.3025000000000001E-3</v>
      </c>
      <c r="D32">
        <v>2.7349999999999996E-3</v>
      </c>
    </row>
    <row r="33" spans="3:4" x14ac:dyDescent="0.25">
      <c r="C33">
        <v>1.4174999999999999E-3</v>
      </c>
      <c r="D33">
        <v>2.7287499999999998E-3</v>
      </c>
    </row>
    <row r="34" spans="3:4" x14ac:dyDescent="0.25">
      <c r="C34">
        <v>3.1575000000000002E-3</v>
      </c>
      <c r="D34">
        <v>3.6124999999999998E-3</v>
      </c>
    </row>
    <row r="35" spans="3:4" x14ac:dyDescent="0.25">
      <c r="C35">
        <v>2.2762500000000001E-3</v>
      </c>
      <c r="D35">
        <v>4.7074999999999999E-3</v>
      </c>
    </row>
    <row r="36" spans="3:4" x14ac:dyDescent="0.25">
      <c r="C36">
        <v>2.3924999999999997E-3</v>
      </c>
      <c r="D36">
        <v>4.5800000000000007E-3</v>
      </c>
    </row>
    <row r="37" spans="3:4" x14ac:dyDescent="0.25">
      <c r="C37">
        <v>1.5087500000000001E-3</v>
      </c>
      <c r="D37">
        <v>5.2537499999999997E-3</v>
      </c>
    </row>
    <row r="38" spans="3:4" x14ac:dyDescent="0.25">
      <c r="C38">
        <v>2.9325000000000002E-3</v>
      </c>
      <c r="D38">
        <v>4.3637500000000004E-3</v>
      </c>
    </row>
    <row r="39" spans="3:4" x14ac:dyDescent="0.25">
      <c r="C39">
        <v>2.4250000000000001E-3</v>
      </c>
      <c r="D39">
        <v>3.0137499999999999E-3</v>
      </c>
    </row>
    <row r="40" spans="3:4" x14ac:dyDescent="0.25">
      <c r="C40">
        <v>1.7825E-3</v>
      </c>
      <c r="D40">
        <v>3.7162499999999999E-3</v>
      </c>
    </row>
    <row r="41" spans="3:4" x14ac:dyDescent="0.25">
      <c r="C41">
        <v>2.4337499999999997E-3</v>
      </c>
      <c r="D41">
        <v>6.4887499999999997E-3</v>
      </c>
    </row>
    <row r="42" spans="3:4" x14ac:dyDescent="0.25">
      <c r="C42">
        <v>2.35125E-3</v>
      </c>
      <c r="D42">
        <v>5.5075000000000002E-3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23211-E554-44D5-8A88-A8FF9979C119}">
  <dimension ref="A1:J30"/>
  <sheetViews>
    <sheetView workbookViewId="0">
      <selection activeCell="A32" sqref="A32"/>
    </sheetView>
  </sheetViews>
  <sheetFormatPr defaultRowHeight="15" x14ac:dyDescent="0.25"/>
  <cols>
    <col min="1" max="1" width="33.28515625" bestFit="1" customWidth="1"/>
    <col min="2" max="10" width="12" bestFit="1" customWidth="1"/>
  </cols>
  <sheetData>
    <row r="1" spans="1:4" x14ac:dyDescent="0.25">
      <c r="A1" t="s">
        <v>22</v>
      </c>
    </row>
    <row r="3" spans="1:4" x14ac:dyDescent="0.25">
      <c r="A3" t="s">
        <v>21</v>
      </c>
      <c r="B3" t="s">
        <v>3</v>
      </c>
      <c r="C3" t="s">
        <v>2</v>
      </c>
      <c r="D3" t="s">
        <v>4</v>
      </c>
    </row>
    <row r="4" spans="1:4" ht="15.75" thickBot="1" x14ac:dyDescent="0.3">
      <c r="A4" s="5" t="s">
        <v>1</v>
      </c>
      <c r="B4" s="5"/>
      <c r="C4" s="5"/>
      <c r="D4" s="5"/>
    </row>
    <row r="5" spans="1:4" x14ac:dyDescent="0.25">
      <c r="A5" t="s">
        <v>20</v>
      </c>
      <c r="B5">
        <v>20</v>
      </c>
      <c r="C5">
        <v>20</v>
      </c>
      <c r="D5">
        <v>40</v>
      </c>
    </row>
    <row r="6" spans="1:4" x14ac:dyDescent="0.25">
      <c r="A6" t="s">
        <v>19</v>
      </c>
      <c r="B6">
        <v>582</v>
      </c>
      <c r="C6">
        <v>1448</v>
      </c>
      <c r="D6">
        <v>2030</v>
      </c>
    </row>
    <row r="7" spans="1:4" x14ac:dyDescent="0.25">
      <c r="A7" t="s">
        <v>18</v>
      </c>
      <c r="B7">
        <v>29.1</v>
      </c>
      <c r="C7">
        <v>72.400000000000006</v>
      </c>
      <c r="D7">
        <v>50.75</v>
      </c>
    </row>
    <row r="8" spans="1:4" x14ac:dyDescent="0.25">
      <c r="A8" t="s">
        <v>17</v>
      </c>
      <c r="B8">
        <v>37.463157894736803</v>
      </c>
      <c r="C8">
        <v>518.04210526315808</v>
      </c>
      <c r="D8">
        <v>751.37179487179492</v>
      </c>
    </row>
    <row r="10" spans="1:4" ht="15.75" thickBot="1" x14ac:dyDescent="0.3">
      <c r="A10" s="5" t="s">
        <v>0</v>
      </c>
      <c r="B10" s="5"/>
      <c r="C10" s="5"/>
      <c r="D10" s="5"/>
    </row>
    <row r="11" spans="1:4" x14ac:dyDescent="0.25">
      <c r="A11" t="s">
        <v>20</v>
      </c>
      <c r="B11">
        <v>20</v>
      </c>
      <c r="C11">
        <v>20</v>
      </c>
      <c r="D11">
        <v>40</v>
      </c>
    </row>
    <row r="12" spans="1:4" x14ac:dyDescent="0.25">
      <c r="A12" t="s">
        <v>19</v>
      </c>
      <c r="B12">
        <v>1549</v>
      </c>
      <c r="C12">
        <v>7233</v>
      </c>
      <c r="D12">
        <v>8782</v>
      </c>
    </row>
    <row r="13" spans="1:4" x14ac:dyDescent="0.25">
      <c r="A13" t="s">
        <v>18</v>
      </c>
      <c r="B13">
        <v>77.45</v>
      </c>
      <c r="C13">
        <v>361.65</v>
      </c>
      <c r="D13">
        <v>219.55</v>
      </c>
    </row>
    <row r="14" spans="1:4" x14ac:dyDescent="0.25">
      <c r="A14" t="s">
        <v>17</v>
      </c>
      <c r="B14">
        <v>436.68157894736828</v>
      </c>
      <c r="C14">
        <v>45762.02894736841</v>
      </c>
      <c r="D14">
        <v>43217.228205128202</v>
      </c>
    </row>
    <row r="16" spans="1:4" ht="15.75" thickBot="1" x14ac:dyDescent="0.3">
      <c r="A16" s="5" t="s">
        <v>4</v>
      </c>
      <c r="B16" s="5"/>
      <c r="C16" s="5"/>
      <c r="D16" s="5"/>
    </row>
    <row r="17" spans="1:10" x14ac:dyDescent="0.25">
      <c r="A17" t="s">
        <v>20</v>
      </c>
      <c r="B17">
        <v>40</v>
      </c>
      <c r="C17">
        <v>40</v>
      </c>
    </row>
    <row r="18" spans="1:10" x14ac:dyDescent="0.25">
      <c r="A18" t="s">
        <v>19</v>
      </c>
      <c r="B18">
        <v>2131</v>
      </c>
      <c r="C18">
        <v>8681</v>
      </c>
    </row>
    <row r="19" spans="1:10" x14ac:dyDescent="0.25">
      <c r="A19" t="s">
        <v>18</v>
      </c>
      <c r="B19">
        <v>53.274999999999999</v>
      </c>
      <c r="C19">
        <v>217.02500000000001</v>
      </c>
    </row>
    <row r="20" spans="1:10" x14ac:dyDescent="0.25">
      <c r="A20" t="s">
        <v>17</v>
      </c>
      <c r="B20">
        <v>830.40961538461556</v>
      </c>
      <c r="C20">
        <v>43999.409615384619</v>
      </c>
    </row>
    <row r="23" spans="1:10" ht="15.75" thickBot="1" x14ac:dyDescent="0.3">
      <c r="A23" t="s">
        <v>16</v>
      </c>
    </row>
    <row r="24" spans="1:10" ht="17.25" x14ac:dyDescent="0.25">
      <c r="A24" s="4" t="s">
        <v>15</v>
      </c>
      <c r="B24" s="4" t="s">
        <v>14</v>
      </c>
      <c r="C24" s="4" t="s">
        <v>13</v>
      </c>
      <c r="D24" s="4" t="s">
        <v>12</v>
      </c>
      <c r="E24" s="4" t="s">
        <v>11</v>
      </c>
      <c r="F24" s="4" t="s">
        <v>10</v>
      </c>
      <c r="G24" s="4" t="s">
        <v>9</v>
      </c>
      <c r="H24" s="4" t="s">
        <v>24</v>
      </c>
      <c r="I24" s="4" t="s">
        <v>23</v>
      </c>
      <c r="J24" s="4" t="s">
        <v>25</v>
      </c>
    </row>
    <row r="25" spans="1:10" x14ac:dyDescent="0.25">
      <c r="A25" t="s">
        <v>8</v>
      </c>
      <c r="B25">
        <v>569868.80000000005</v>
      </c>
      <c r="C25">
        <v>1</v>
      </c>
      <c r="D25">
        <v>569868.80000000005</v>
      </c>
      <c r="E25">
        <v>48.754431263783587</v>
      </c>
      <c r="F25">
        <v>9.4759194059141593E-10</v>
      </c>
      <c r="G25">
        <v>3.9667597840087825</v>
      </c>
      <c r="H25">
        <f>B25/B30</f>
        <v>0.24943437582097028</v>
      </c>
      <c r="I25">
        <f>B25/(B25+B28)</f>
        <v>0.39080320249864403</v>
      </c>
      <c r="J25">
        <f>(B25-(C25*D28))/(B30+D28)</f>
        <v>0.24307463502104668</v>
      </c>
    </row>
    <row r="26" spans="1:10" x14ac:dyDescent="0.25">
      <c r="A26" t="s">
        <v>7</v>
      </c>
      <c r="B26">
        <v>536281.25</v>
      </c>
      <c r="C26">
        <v>1</v>
      </c>
      <c r="D26">
        <v>536281.25</v>
      </c>
      <c r="E26">
        <v>45.880889322561508</v>
      </c>
      <c r="F26">
        <v>2.3379235427685857E-9</v>
      </c>
      <c r="G26">
        <v>3.9667597840087825</v>
      </c>
      <c r="H26">
        <f>B26/B30</f>
        <v>0.23473294003503914</v>
      </c>
      <c r="I26">
        <f>B26/(B26+B28)</f>
        <v>0.37644038846103534</v>
      </c>
      <c r="J26">
        <f>(B26-(C26*D28))/(B30+D28)</f>
        <v>0.22844803095320701</v>
      </c>
    </row>
    <row r="27" spans="1:10" x14ac:dyDescent="0.25">
      <c r="A27" t="s">
        <v>6</v>
      </c>
      <c r="B27">
        <v>290164.05000000005</v>
      </c>
      <c r="C27">
        <v>1</v>
      </c>
      <c r="D27">
        <v>290164.05000000005</v>
      </c>
      <c r="E27">
        <v>24.82463196957978</v>
      </c>
      <c r="F27">
        <v>3.8385626878090273E-6</v>
      </c>
      <c r="G27">
        <v>3.9667597840087825</v>
      </c>
      <c r="H27">
        <f>B27/B30</f>
        <v>0.12700623142982179</v>
      </c>
      <c r="I27">
        <f>B27/(B27+B28)</f>
        <v>0.24621594430485719</v>
      </c>
      <c r="J27">
        <f>(B27-(C27*D28))/(B30+D28)</f>
        <v>0.12126966162631943</v>
      </c>
    </row>
    <row r="28" spans="1:10" x14ac:dyDescent="0.25">
      <c r="A28" t="s">
        <v>5</v>
      </c>
      <c r="B28">
        <v>888330.10000000009</v>
      </c>
      <c r="C28">
        <v>76</v>
      </c>
      <c r="D28">
        <v>11688.553947368422</v>
      </c>
    </row>
    <row r="30" spans="1:10" ht="15.75" thickBot="1" x14ac:dyDescent="0.3">
      <c r="A30" s="3" t="s">
        <v>4</v>
      </c>
      <c r="B30" s="3">
        <v>2284644.2000000002</v>
      </c>
      <c r="C30" s="3">
        <v>79</v>
      </c>
      <c r="D30" s="3"/>
      <c r="E30" s="3"/>
      <c r="F30" s="3"/>
      <c r="G30" s="3"/>
      <c r="H30" s="3"/>
      <c r="I30" s="3"/>
      <c r="J3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8F97-14A8-45F6-BB21-8D96AEAF86D2}">
  <dimension ref="B2:F42"/>
  <sheetViews>
    <sheetView workbookViewId="0">
      <selection activeCell="B2" sqref="B2"/>
    </sheetView>
  </sheetViews>
  <sheetFormatPr defaultColWidth="11.42578125" defaultRowHeight="15" x14ac:dyDescent="0.25"/>
  <sheetData>
    <row r="2" spans="2:6" x14ac:dyDescent="0.25">
      <c r="B2" s="2"/>
      <c r="C2" s="2" t="s">
        <v>3</v>
      </c>
      <c r="D2" s="2" t="s">
        <v>2</v>
      </c>
      <c r="E2" s="2"/>
      <c r="F2" s="2"/>
    </row>
    <row r="3" spans="2:6" x14ac:dyDescent="0.25">
      <c r="B3" s="1" t="s">
        <v>1</v>
      </c>
      <c r="C3">
        <v>26</v>
      </c>
      <c r="D3" s="1">
        <v>67</v>
      </c>
      <c r="F3" s="1"/>
    </row>
    <row r="4" spans="2:6" x14ac:dyDescent="0.25">
      <c r="C4">
        <v>35</v>
      </c>
      <c r="D4">
        <v>43</v>
      </c>
      <c r="E4" s="1"/>
      <c r="F4" s="1"/>
    </row>
    <row r="5" spans="2:6" x14ac:dyDescent="0.25">
      <c r="C5">
        <v>25</v>
      </c>
      <c r="D5">
        <v>57</v>
      </c>
    </row>
    <row r="6" spans="2:6" x14ac:dyDescent="0.25">
      <c r="C6">
        <v>20</v>
      </c>
      <c r="D6">
        <v>40</v>
      </c>
    </row>
    <row r="7" spans="2:6" x14ac:dyDescent="0.25">
      <c r="C7">
        <v>28</v>
      </c>
      <c r="D7">
        <v>63</v>
      </c>
    </row>
    <row r="8" spans="2:6" x14ac:dyDescent="0.25">
      <c r="C8">
        <v>26</v>
      </c>
      <c r="D8">
        <v>58</v>
      </c>
    </row>
    <row r="9" spans="2:6" x14ac:dyDescent="0.25">
      <c r="C9">
        <v>18</v>
      </c>
      <c r="D9">
        <v>48</v>
      </c>
    </row>
    <row r="10" spans="2:6" x14ac:dyDescent="0.25">
      <c r="C10">
        <v>36</v>
      </c>
      <c r="D10">
        <v>52</v>
      </c>
    </row>
    <row r="11" spans="2:6" x14ac:dyDescent="0.25">
      <c r="C11">
        <v>35</v>
      </c>
      <c r="D11">
        <v>92</v>
      </c>
    </row>
    <row r="12" spans="2:6" x14ac:dyDescent="0.25">
      <c r="C12">
        <v>30</v>
      </c>
      <c r="D12">
        <v>56</v>
      </c>
    </row>
    <row r="13" spans="2:6" x14ac:dyDescent="0.25">
      <c r="C13">
        <v>30</v>
      </c>
      <c r="D13">
        <v>103</v>
      </c>
    </row>
    <row r="14" spans="2:6" x14ac:dyDescent="0.25">
      <c r="C14">
        <v>31</v>
      </c>
      <c r="D14">
        <v>63</v>
      </c>
    </row>
    <row r="15" spans="2:6" x14ac:dyDescent="0.25">
      <c r="C15">
        <v>25</v>
      </c>
      <c r="D15">
        <v>79</v>
      </c>
    </row>
    <row r="16" spans="2:6" x14ac:dyDescent="0.25">
      <c r="C16">
        <v>31</v>
      </c>
      <c r="D16">
        <v>74</v>
      </c>
    </row>
    <row r="17" spans="2:4" x14ac:dyDescent="0.25">
      <c r="C17">
        <v>26</v>
      </c>
      <c r="D17">
        <v>74</v>
      </c>
    </row>
    <row r="18" spans="2:4" x14ac:dyDescent="0.25">
      <c r="C18">
        <v>40</v>
      </c>
      <c r="D18">
        <v>129</v>
      </c>
    </row>
    <row r="19" spans="2:4" x14ac:dyDescent="0.25">
      <c r="C19">
        <v>33</v>
      </c>
      <c r="D19">
        <v>95</v>
      </c>
    </row>
    <row r="20" spans="2:4" x14ac:dyDescent="0.25">
      <c r="C20">
        <v>24</v>
      </c>
      <c r="D20">
        <v>78</v>
      </c>
    </row>
    <row r="21" spans="2:4" x14ac:dyDescent="0.25">
      <c r="C21">
        <v>23</v>
      </c>
      <c r="D21">
        <v>102</v>
      </c>
    </row>
    <row r="22" spans="2:4" x14ac:dyDescent="0.25">
      <c r="C22">
        <v>40</v>
      </c>
      <c r="D22">
        <v>75</v>
      </c>
    </row>
    <row r="23" spans="2:4" x14ac:dyDescent="0.25">
      <c r="B23" s="1" t="s">
        <v>0</v>
      </c>
      <c r="C23" s="1">
        <v>93</v>
      </c>
      <c r="D23" s="1">
        <v>205</v>
      </c>
    </row>
    <row r="24" spans="2:4" x14ac:dyDescent="0.25">
      <c r="C24">
        <v>59</v>
      </c>
      <c r="D24">
        <v>192</v>
      </c>
    </row>
    <row r="25" spans="2:4" x14ac:dyDescent="0.25">
      <c r="C25">
        <v>67</v>
      </c>
      <c r="D25">
        <v>309</v>
      </c>
    </row>
    <row r="26" spans="2:4" x14ac:dyDescent="0.25">
      <c r="C26">
        <v>62</v>
      </c>
      <c r="D26">
        <v>166</v>
      </c>
    </row>
    <row r="27" spans="2:4" x14ac:dyDescent="0.25">
      <c r="C27">
        <v>75</v>
      </c>
      <c r="D27">
        <v>178</v>
      </c>
    </row>
    <row r="28" spans="2:4" x14ac:dyDescent="0.25">
      <c r="C28">
        <v>70</v>
      </c>
      <c r="D28">
        <v>141</v>
      </c>
    </row>
    <row r="29" spans="2:4" x14ac:dyDescent="0.25">
      <c r="C29">
        <v>65</v>
      </c>
      <c r="D29">
        <v>110</v>
      </c>
    </row>
    <row r="30" spans="2:4" x14ac:dyDescent="0.25">
      <c r="C30">
        <v>61</v>
      </c>
      <c r="D30">
        <v>182</v>
      </c>
    </row>
    <row r="31" spans="2:4" x14ac:dyDescent="0.25">
      <c r="C31">
        <v>77</v>
      </c>
      <c r="D31">
        <v>144</v>
      </c>
    </row>
    <row r="32" spans="2:4" x14ac:dyDescent="0.25">
      <c r="C32">
        <v>82</v>
      </c>
      <c r="D32">
        <v>292</v>
      </c>
    </row>
    <row r="33" spans="3:4" x14ac:dyDescent="0.25">
      <c r="C33">
        <v>70</v>
      </c>
      <c r="D33">
        <v>287</v>
      </c>
    </row>
    <row r="34" spans="3:4" x14ac:dyDescent="0.25">
      <c r="C34">
        <v>62</v>
      </c>
      <c r="D34">
        <v>266</v>
      </c>
    </row>
    <row r="35" spans="3:4" x14ac:dyDescent="0.25">
      <c r="C35">
        <v>101</v>
      </c>
      <c r="D35">
        <v>542</v>
      </c>
    </row>
    <row r="36" spans="3:4" x14ac:dyDescent="0.25">
      <c r="C36">
        <v>114</v>
      </c>
      <c r="D36">
        <v>640</v>
      </c>
    </row>
    <row r="37" spans="3:4" x14ac:dyDescent="0.25">
      <c r="C37">
        <v>55</v>
      </c>
      <c r="D37">
        <v>339</v>
      </c>
    </row>
    <row r="38" spans="3:4" x14ac:dyDescent="0.25">
      <c r="C38">
        <v>58</v>
      </c>
      <c r="D38">
        <v>611</v>
      </c>
    </row>
    <row r="39" spans="3:4" x14ac:dyDescent="0.25">
      <c r="C39">
        <v>68</v>
      </c>
      <c r="D39">
        <v>603</v>
      </c>
    </row>
    <row r="40" spans="3:4" x14ac:dyDescent="0.25">
      <c r="C40">
        <v>106</v>
      </c>
      <c r="D40">
        <v>725</v>
      </c>
    </row>
    <row r="41" spans="3:4" x14ac:dyDescent="0.25">
      <c r="C41">
        <v>131</v>
      </c>
      <c r="D41">
        <v>663</v>
      </c>
    </row>
    <row r="42" spans="3:4" x14ac:dyDescent="0.25">
      <c r="C42">
        <v>73</v>
      </c>
      <c r="D42">
        <v>638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0AD9-2B8E-4AA2-8949-8CC17287522B}">
  <dimension ref="A1:J30"/>
  <sheetViews>
    <sheetView workbookViewId="0">
      <selection activeCell="A32" sqref="A32"/>
    </sheetView>
  </sheetViews>
  <sheetFormatPr defaultRowHeight="15" x14ac:dyDescent="0.25"/>
  <cols>
    <col min="1" max="1" width="33.28515625" bestFit="1" customWidth="1"/>
    <col min="2" max="10" width="12" bestFit="1" customWidth="1"/>
  </cols>
  <sheetData>
    <row r="1" spans="1:4" x14ac:dyDescent="0.25">
      <c r="A1" t="s">
        <v>22</v>
      </c>
    </row>
    <row r="3" spans="1:4" x14ac:dyDescent="0.25">
      <c r="A3" t="s">
        <v>21</v>
      </c>
      <c r="B3" t="s">
        <v>3</v>
      </c>
      <c r="C3" t="s">
        <v>2</v>
      </c>
      <c r="D3" t="s">
        <v>4</v>
      </c>
    </row>
    <row r="4" spans="1:4" ht="15.75" thickBot="1" x14ac:dyDescent="0.3">
      <c r="A4" s="5" t="s">
        <v>1</v>
      </c>
      <c r="B4" s="5"/>
      <c r="C4" s="5"/>
      <c r="D4" s="5"/>
    </row>
    <row r="5" spans="1:4" x14ac:dyDescent="0.25">
      <c r="A5" t="s">
        <v>20</v>
      </c>
      <c r="B5">
        <v>20</v>
      </c>
      <c r="C5">
        <v>20</v>
      </c>
      <c r="D5">
        <v>40</v>
      </c>
    </row>
    <row r="6" spans="1:4" x14ac:dyDescent="0.25">
      <c r="A6" t="s">
        <v>19</v>
      </c>
      <c r="B6">
        <v>1749</v>
      </c>
      <c r="C6">
        <v>1935</v>
      </c>
      <c r="D6">
        <v>3684</v>
      </c>
    </row>
    <row r="7" spans="1:4" x14ac:dyDescent="0.25">
      <c r="A7" t="s">
        <v>18</v>
      </c>
      <c r="B7">
        <v>87.45</v>
      </c>
      <c r="C7">
        <v>96.75</v>
      </c>
      <c r="D7">
        <v>92.1</v>
      </c>
    </row>
    <row r="8" spans="1:4" x14ac:dyDescent="0.25">
      <c r="A8" t="s">
        <v>17</v>
      </c>
      <c r="B8">
        <v>56.365789473684167</v>
      </c>
      <c r="C8">
        <v>33.881578947368418</v>
      </c>
      <c r="D8">
        <v>66.143589743589772</v>
      </c>
    </row>
    <row r="10" spans="1:4" ht="15.75" thickBot="1" x14ac:dyDescent="0.3">
      <c r="A10" s="5" t="s">
        <v>0</v>
      </c>
      <c r="B10" s="5"/>
      <c r="C10" s="5"/>
      <c r="D10" s="5"/>
    </row>
    <row r="11" spans="1:4" x14ac:dyDescent="0.25">
      <c r="A11" t="s">
        <v>20</v>
      </c>
      <c r="B11">
        <v>20</v>
      </c>
      <c r="C11">
        <v>20</v>
      </c>
      <c r="D11">
        <v>40</v>
      </c>
    </row>
    <row r="12" spans="1:4" x14ac:dyDescent="0.25">
      <c r="A12" t="s">
        <v>19</v>
      </c>
      <c r="B12">
        <v>1672</v>
      </c>
      <c r="C12">
        <v>1900</v>
      </c>
      <c r="D12">
        <v>3572</v>
      </c>
    </row>
    <row r="13" spans="1:4" x14ac:dyDescent="0.25">
      <c r="A13" t="s">
        <v>18</v>
      </c>
      <c r="B13">
        <v>83.6</v>
      </c>
      <c r="C13">
        <v>95</v>
      </c>
      <c r="D13">
        <v>89.3</v>
      </c>
    </row>
    <row r="14" spans="1:4" x14ac:dyDescent="0.25">
      <c r="A14" t="s">
        <v>17</v>
      </c>
      <c r="B14">
        <v>147.72631578947306</v>
      </c>
      <c r="C14">
        <v>24.631578947368428</v>
      </c>
      <c r="D14">
        <v>117.29230769230828</v>
      </c>
    </row>
    <row r="16" spans="1:4" ht="15.75" thickBot="1" x14ac:dyDescent="0.3">
      <c r="A16" s="5" t="s">
        <v>4</v>
      </c>
      <c r="B16" s="5"/>
      <c r="C16" s="5"/>
      <c r="D16" s="5"/>
    </row>
    <row r="17" spans="1:10" x14ac:dyDescent="0.25">
      <c r="A17" t="s">
        <v>20</v>
      </c>
      <c r="B17">
        <v>40</v>
      </c>
      <c r="C17">
        <v>40</v>
      </c>
    </row>
    <row r="18" spans="1:10" x14ac:dyDescent="0.25">
      <c r="A18" t="s">
        <v>19</v>
      </c>
      <c r="B18">
        <v>3421</v>
      </c>
      <c r="C18">
        <v>3835</v>
      </c>
    </row>
    <row r="19" spans="1:10" x14ac:dyDescent="0.25">
      <c r="A19" t="s">
        <v>18</v>
      </c>
      <c r="B19">
        <v>85.525000000000006</v>
      </c>
      <c r="C19">
        <v>95.875</v>
      </c>
    </row>
    <row r="20" spans="1:10" x14ac:dyDescent="0.25">
      <c r="A20" t="s">
        <v>17</v>
      </c>
      <c r="B20">
        <v>103.23012820512761</v>
      </c>
      <c r="C20">
        <v>29.291666666666671</v>
      </c>
    </row>
    <row r="23" spans="1:10" ht="15.75" thickBot="1" x14ac:dyDescent="0.3">
      <c r="A23" t="s">
        <v>16</v>
      </c>
    </row>
    <row r="24" spans="1:10" ht="17.25" x14ac:dyDescent="0.25">
      <c r="A24" s="4" t="s">
        <v>15</v>
      </c>
      <c r="B24" s="4" t="s">
        <v>14</v>
      </c>
      <c r="C24" s="4" t="s">
        <v>13</v>
      </c>
      <c r="D24" s="4" t="s">
        <v>12</v>
      </c>
      <c r="E24" s="4" t="s">
        <v>11</v>
      </c>
      <c r="F24" s="4" t="s">
        <v>10</v>
      </c>
      <c r="G24" s="4" t="s">
        <v>9</v>
      </c>
      <c r="H24" s="4" t="s">
        <v>24</v>
      </c>
      <c r="I24" s="4" t="s">
        <v>23</v>
      </c>
      <c r="J24" s="4" t="s">
        <v>25</v>
      </c>
    </row>
    <row r="25" spans="1:10" x14ac:dyDescent="0.25">
      <c r="A25" t="s">
        <v>8</v>
      </c>
      <c r="B25">
        <v>156.79999999999836</v>
      </c>
      <c r="C25">
        <v>1</v>
      </c>
      <c r="D25">
        <v>156.79999999999836</v>
      </c>
      <c r="E25">
        <v>2.3883755887363218</v>
      </c>
      <c r="F25">
        <v>0.12639469844558612</v>
      </c>
      <c r="G25">
        <v>3.9667597840087825</v>
      </c>
      <c r="H25">
        <f>B25/B30</f>
        <v>2.144772117962444E-2</v>
      </c>
      <c r="I25">
        <f>B25/(B25+B28)</f>
        <v>3.0468491926237965E-2</v>
      </c>
      <c r="J25">
        <f>(B25-(C25*D28))/(B30+D28)</f>
        <v>1.2356711961945538E-2</v>
      </c>
    </row>
    <row r="26" spans="1:10" x14ac:dyDescent="0.25">
      <c r="A26" t="s">
        <v>7</v>
      </c>
      <c r="B26">
        <v>2142.4499999999989</v>
      </c>
      <c r="C26">
        <v>1</v>
      </c>
      <c r="D26">
        <v>2142.4499999999989</v>
      </c>
      <c r="E26">
        <v>32.633770918929741</v>
      </c>
      <c r="F26">
        <v>2.0576308542079224E-7</v>
      </c>
      <c r="G26">
        <v>3.9667597840087825</v>
      </c>
      <c r="H26">
        <f>B26/B30</f>
        <v>0.29305274388575792</v>
      </c>
      <c r="I26">
        <f>B26/(B26+B28)</f>
        <v>0.30040171341638677</v>
      </c>
      <c r="J26">
        <f>(B26-(C26*D28))/(B30+D28)</f>
        <v>0.28154441686140963</v>
      </c>
    </row>
    <row r="27" spans="1:10" x14ac:dyDescent="0.25">
      <c r="A27" t="s">
        <v>6</v>
      </c>
      <c r="B27">
        <v>22.05000000000382</v>
      </c>
      <c r="C27">
        <v>1</v>
      </c>
      <c r="D27">
        <v>22.05000000000382</v>
      </c>
      <c r="E27">
        <v>0.33586531716610696</v>
      </c>
      <c r="F27">
        <v>0.56393963535538472</v>
      </c>
      <c r="G27">
        <v>3.9667597840087825</v>
      </c>
      <c r="H27">
        <f>B27/B30</f>
        <v>3.0160857908852409E-3</v>
      </c>
      <c r="I27">
        <f>B27/(B27+B28)</f>
        <v>4.3998363779676562E-3</v>
      </c>
      <c r="J27">
        <f>(B27-(C27*D28))/(B30+D28)</f>
        <v>-5.9108796252935573E-3</v>
      </c>
    </row>
    <row r="28" spans="1:10" x14ac:dyDescent="0.25">
      <c r="A28" t="s">
        <v>5</v>
      </c>
      <c r="B28">
        <v>4989.4999999999991</v>
      </c>
      <c r="C28">
        <v>76</v>
      </c>
      <c r="D28">
        <v>65.651315789473671</v>
      </c>
    </row>
    <row r="30" spans="1:10" ht="15.75" thickBot="1" x14ac:dyDescent="0.3">
      <c r="A30" s="3" t="s">
        <v>4</v>
      </c>
      <c r="B30" s="3">
        <v>7310.8</v>
      </c>
      <c r="C30" s="3">
        <v>79</v>
      </c>
      <c r="D30" s="3"/>
      <c r="E30" s="3"/>
      <c r="F30" s="3"/>
      <c r="G30" s="3"/>
      <c r="H30" s="3"/>
      <c r="I30" s="3"/>
      <c r="J30" s="3"/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C60A-6271-4561-A927-166F67A87B21}">
  <dimension ref="B2:F42"/>
  <sheetViews>
    <sheetView workbookViewId="0">
      <selection activeCell="B2" sqref="B2"/>
    </sheetView>
  </sheetViews>
  <sheetFormatPr defaultColWidth="11.42578125" defaultRowHeight="15" x14ac:dyDescent="0.25"/>
  <sheetData>
    <row r="2" spans="2:6" x14ac:dyDescent="0.25">
      <c r="B2" s="2"/>
      <c r="C2" s="2" t="s">
        <v>3</v>
      </c>
      <c r="D2" s="2" t="s">
        <v>2</v>
      </c>
      <c r="E2" s="2"/>
      <c r="F2" s="2"/>
    </row>
    <row r="3" spans="2:6" x14ac:dyDescent="0.25">
      <c r="B3" s="1" t="s">
        <v>1</v>
      </c>
      <c r="C3">
        <v>74.999999999999986</v>
      </c>
      <c r="D3" s="1">
        <v>100</v>
      </c>
      <c r="F3" s="1"/>
    </row>
    <row r="4" spans="2:6" x14ac:dyDescent="0.25">
      <c r="C4">
        <v>73.000000000000014</v>
      </c>
      <c r="D4">
        <v>96</v>
      </c>
      <c r="E4" s="1"/>
      <c r="F4" s="1"/>
    </row>
    <row r="5" spans="2:6" x14ac:dyDescent="0.25">
      <c r="C5">
        <v>86.999999999999986</v>
      </c>
      <c r="D5">
        <v>91</v>
      </c>
    </row>
    <row r="6" spans="2:6" x14ac:dyDescent="0.25">
      <c r="C6">
        <v>91</v>
      </c>
      <c r="D6">
        <v>100</v>
      </c>
    </row>
    <row r="7" spans="2:6" x14ac:dyDescent="0.25">
      <c r="C7">
        <v>78.000000000000014</v>
      </c>
      <c r="D7">
        <v>100</v>
      </c>
    </row>
    <row r="8" spans="2:6" x14ac:dyDescent="0.25">
      <c r="C8">
        <v>83.000000000000014</v>
      </c>
      <c r="D8">
        <v>95</v>
      </c>
    </row>
    <row r="9" spans="2:6" x14ac:dyDescent="0.25">
      <c r="C9">
        <v>91</v>
      </c>
      <c r="D9">
        <v>100</v>
      </c>
    </row>
    <row r="10" spans="2:6" x14ac:dyDescent="0.25">
      <c r="C10">
        <v>91</v>
      </c>
      <c r="D10">
        <v>95</v>
      </c>
    </row>
    <row r="11" spans="2:6" x14ac:dyDescent="0.25">
      <c r="C11">
        <v>72</v>
      </c>
      <c r="D11">
        <v>76</v>
      </c>
    </row>
    <row r="12" spans="2:6" x14ac:dyDescent="0.25">
      <c r="C12">
        <v>96</v>
      </c>
      <c r="D12">
        <v>100</v>
      </c>
    </row>
    <row r="13" spans="2:6" x14ac:dyDescent="0.25">
      <c r="C13">
        <v>90</v>
      </c>
      <c r="D13">
        <v>100</v>
      </c>
    </row>
    <row r="14" spans="2:6" x14ac:dyDescent="0.25">
      <c r="C14">
        <v>95</v>
      </c>
      <c r="D14">
        <v>96</v>
      </c>
    </row>
    <row r="15" spans="2:6" x14ac:dyDescent="0.25">
      <c r="C15">
        <v>86</v>
      </c>
      <c r="D15">
        <v>100</v>
      </c>
    </row>
    <row r="16" spans="2:6" x14ac:dyDescent="0.25">
      <c r="C16">
        <v>91</v>
      </c>
      <c r="D16">
        <v>100</v>
      </c>
    </row>
    <row r="17" spans="2:4" x14ac:dyDescent="0.25">
      <c r="C17">
        <v>95</v>
      </c>
      <c r="D17">
        <v>96</v>
      </c>
    </row>
    <row r="18" spans="2:4" x14ac:dyDescent="0.25">
      <c r="C18">
        <v>86</v>
      </c>
      <c r="D18">
        <v>100</v>
      </c>
    </row>
    <row r="19" spans="2:4" x14ac:dyDescent="0.25">
      <c r="C19">
        <v>91</v>
      </c>
      <c r="D19">
        <v>100</v>
      </c>
    </row>
    <row r="20" spans="2:4" x14ac:dyDescent="0.25">
      <c r="C20">
        <v>96</v>
      </c>
      <c r="D20">
        <v>100</v>
      </c>
    </row>
    <row r="21" spans="2:4" x14ac:dyDescent="0.25">
      <c r="C21">
        <v>91</v>
      </c>
      <c r="D21">
        <v>100</v>
      </c>
    </row>
    <row r="22" spans="2:4" x14ac:dyDescent="0.25">
      <c r="C22">
        <v>91</v>
      </c>
      <c r="D22">
        <v>90</v>
      </c>
    </row>
    <row r="23" spans="2:4" x14ac:dyDescent="0.25">
      <c r="B23" s="1" t="s">
        <v>0</v>
      </c>
      <c r="C23" s="1">
        <v>95</v>
      </c>
      <c r="D23" s="1">
        <v>91</v>
      </c>
    </row>
    <row r="24" spans="2:4" x14ac:dyDescent="0.25">
      <c r="C24">
        <v>73.000000000000014</v>
      </c>
      <c r="D24">
        <v>86</v>
      </c>
    </row>
    <row r="25" spans="2:4" x14ac:dyDescent="0.25">
      <c r="C25">
        <v>86.999999999999986</v>
      </c>
      <c r="D25">
        <v>100</v>
      </c>
    </row>
    <row r="26" spans="2:4" x14ac:dyDescent="0.25">
      <c r="C26">
        <v>81.999999999999986</v>
      </c>
      <c r="D26">
        <v>90</v>
      </c>
    </row>
    <row r="27" spans="2:4" x14ac:dyDescent="0.25">
      <c r="C27">
        <v>78.000000000000014</v>
      </c>
      <c r="D27">
        <v>100</v>
      </c>
    </row>
    <row r="28" spans="2:4" x14ac:dyDescent="0.25">
      <c r="C28">
        <v>51.999999999999986</v>
      </c>
      <c r="D28">
        <v>95</v>
      </c>
    </row>
    <row r="29" spans="2:4" x14ac:dyDescent="0.25">
      <c r="C29">
        <v>86</v>
      </c>
      <c r="D29">
        <v>100</v>
      </c>
    </row>
    <row r="30" spans="2:4" x14ac:dyDescent="0.25">
      <c r="C30">
        <v>95</v>
      </c>
      <c r="D30">
        <v>100</v>
      </c>
    </row>
    <row r="31" spans="2:4" x14ac:dyDescent="0.25">
      <c r="C31">
        <v>62</v>
      </c>
      <c r="D31">
        <v>90</v>
      </c>
    </row>
    <row r="32" spans="2:4" x14ac:dyDescent="0.25">
      <c r="C32">
        <v>91</v>
      </c>
      <c r="D32">
        <v>86.999999999999986</v>
      </c>
    </row>
    <row r="33" spans="3:4" x14ac:dyDescent="0.25">
      <c r="C33">
        <v>76</v>
      </c>
      <c r="D33">
        <v>90</v>
      </c>
    </row>
    <row r="34" spans="3:4" x14ac:dyDescent="0.25">
      <c r="C34">
        <v>96</v>
      </c>
      <c r="D34">
        <v>93.000000000000014</v>
      </c>
    </row>
    <row r="35" spans="3:4" x14ac:dyDescent="0.25">
      <c r="C35">
        <v>95</v>
      </c>
      <c r="D35">
        <v>100</v>
      </c>
    </row>
    <row r="36" spans="3:4" x14ac:dyDescent="0.25">
      <c r="C36">
        <v>76</v>
      </c>
      <c r="D36">
        <v>96</v>
      </c>
    </row>
    <row r="37" spans="3:4" x14ac:dyDescent="0.25">
      <c r="C37">
        <v>91</v>
      </c>
      <c r="D37">
        <v>100</v>
      </c>
    </row>
    <row r="38" spans="3:4" x14ac:dyDescent="0.25">
      <c r="C38">
        <v>91</v>
      </c>
      <c r="D38">
        <v>100</v>
      </c>
    </row>
    <row r="39" spans="3:4" x14ac:dyDescent="0.25">
      <c r="C39">
        <v>86.999999999999986</v>
      </c>
      <c r="D39">
        <v>96</v>
      </c>
    </row>
    <row r="40" spans="3:4" x14ac:dyDescent="0.25">
      <c r="C40">
        <v>72</v>
      </c>
      <c r="D40">
        <v>100</v>
      </c>
    </row>
    <row r="41" spans="3:4" x14ac:dyDescent="0.25">
      <c r="C41">
        <v>91</v>
      </c>
      <c r="D41">
        <v>96</v>
      </c>
    </row>
    <row r="42" spans="3:4" x14ac:dyDescent="0.25">
      <c r="C42">
        <v>96</v>
      </c>
      <c r="D42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1372-712D-4DB5-AE5C-BB2C96FDA557}">
  <dimension ref="A1:J30"/>
  <sheetViews>
    <sheetView workbookViewId="0">
      <selection activeCell="A32" sqref="A32"/>
    </sheetView>
  </sheetViews>
  <sheetFormatPr defaultRowHeight="15" x14ac:dyDescent="0.25"/>
  <cols>
    <col min="1" max="1" width="33.28515625" bestFit="1" customWidth="1"/>
    <col min="2" max="10" width="12" bestFit="1" customWidth="1"/>
  </cols>
  <sheetData>
    <row r="1" spans="1:4" x14ac:dyDescent="0.25">
      <c r="A1" t="s">
        <v>22</v>
      </c>
    </row>
    <row r="3" spans="1:4" x14ac:dyDescent="0.25">
      <c r="A3" t="s">
        <v>21</v>
      </c>
      <c r="B3" t="s">
        <v>3</v>
      </c>
      <c r="C3" t="s">
        <v>2</v>
      </c>
      <c r="D3" t="s">
        <v>4</v>
      </c>
    </row>
    <row r="4" spans="1:4" ht="15.75" thickBot="1" x14ac:dyDescent="0.3">
      <c r="A4" s="5" t="s">
        <v>1</v>
      </c>
      <c r="B4" s="5"/>
      <c r="C4" s="5"/>
      <c r="D4" s="5"/>
    </row>
    <row r="5" spans="1:4" x14ac:dyDescent="0.25">
      <c r="A5" t="s">
        <v>20</v>
      </c>
      <c r="B5">
        <v>20</v>
      </c>
      <c r="C5">
        <v>20</v>
      </c>
      <c r="D5">
        <v>40</v>
      </c>
    </row>
    <row r="6" spans="1:4" x14ac:dyDescent="0.25">
      <c r="A6" t="s">
        <v>19</v>
      </c>
      <c r="B6">
        <v>1568</v>
      </c>
      <c r="C6">
        <v>1787</v>
      </c>
      <c r="D6">
        <v>3355</v>
      </c>
    </row>
    <row r="7" spans="1:4" x14ac:dyDescent="0.25">
      <c r="A7" t="s">
        <v>18</v>
      </c>
      <c r="B7">
        <v>78.400000000000006</v>
      </c>
      <c r="C7">
        <v>89.35</v>
      </c>
      <c r="D7">
        <v>83.875</v>
      </c>
    </row>
    <row r="8" spans="1:4" x14ac:dyDescent="0.25">
      <c r="A8" t="s">
        <v>17</v>
      </c>
      <c r="B8">
        <v>7.936842105263187</v>
      </c>
      <c r="C8">
        <v>23.397368421052668</v>
      </c>
      <c r="D8">
        <v>46.009615384615437</v>
      </c>
    </row>
    <row r="10" spans="1:4" ht="15.75" thickBot="1" x14ac:dyDescent="0.3">
      <c r="A10" s="5" t="s">
        <v>0</v>
      </c>
      <c r="B10" s="5"/>
      <c r="C10" s="5"/>
      <c r="D10" s="5"/>
    </row>
    <row r="11" spans="1:4" x14ac:dyDescent="0.25">
      <c r="A11" t="s">
        <v>20</v>
      </c>
      <c r="B11">
        <v>20</v>
      </c>
      <c r="C11">
        <v>20</v>
      </c>
      <c r="D11">
        <v>40</v>
      </c>
    </row>
    <row r="12" spans="1:4" x14ac:dyDescent="0.25">
      <c r="A12" t="s">
        <v>19</v>
      </c>
      <c r="B12">
        <v>1689</v>
      </c>
      <c r="C12">
        <v>1893</v>
      </c>
      <c r="D12">
        <v>3582</v>
      </c>
    </row>
    <row r="13" spans="1:4" x14ac:dyDescent="0.25">
      <c r="A13" t="s">
        <v>18</v>
      </c>
      <c r="B13">
        <v>84.45</v>
      </c>
      <c r="C13">
        <v>94.65</v>
      </c>
      <c r="D13">
        <v>89.55</v>
      </c>
    </row>
    <row r="14" spans="1:4" x14ac:dyDescent="0.25">
      <c r="A14" t="s">
        <v>17</v>
      </c>
      <c r="B14">
        <v>25.839473684210571</v>
      </c>
      <c r="C14">
        <v>28.134210526315822</v>
      </c>
      <c r="D14">
        <v>52.971794871794941</v>
      </c>
    </row>
    <row r="16" spans="1:4" ht="15.75" thickBot="1" x14ac:dyDescent="0.3">
      <c r="A16" s="5" t="s">
        <v>4</v>
      </c>
      <c r="B16" s="5"/>
      <c r="C16" s="5"/>
      <c r="D16" s="5"/>
    </row>
    <row r="17" spans="1:10" x14ac:dyDescent="0.25">
      <c r="A17" t="s">
        <v>20</v>
      </c>
      <c r="B17">
        <v>40</v>
      </c>
      <c r="C17">
        <v>40</v>
      </c>
    </row>
    <row r="18" spans="1:10" x14ac:dyDescent="0.25">
      <c r="A18" t="s">
        <v>19</v>
      </c>
      <c r="B18">
        <v>3257</v>
      </c>
      <c r="C18">
        <v>3680</v>
      </c>
    </row>
    <row r="19" spans="1:10" x14ac:dyDescent="0.25">
      <c r="A19" t="s">
        <v>18</v>
      </c>
      <c r="B19">
        <v>81.424999999999997</v>
      </c>
      <c r="C19">
        <v>92</v>
      </c>
    </row>
    <row r="20" spans="1:10" x14ac:dyDescent="0.25">
      <c r="A20" t="s">
        <v>17</v>
      </c>
      <c r="B20">
        <v>25.840384615384625</v>
      </c>
      <c r="C20">
        <v>32.307692307692342</v>
      </c>
    </row>
    <row r="23" spans="1:10" ht="15.75" thickBot="1" x14ac:dyDescent="0.3">
      <c r="A23" t="s">
        <v>16</v>
      </c>
    </row>
    <row r="24" spans="1:10" ht="17.25" x14ac:dyDescent="0.25">
      <c r="A24" s="4" t="s">
        <v>15</v>
      </c>
      <c r="B24" s="4" t="s">
        <v>14</v>
      </c>
      <c r="C24" s="4" t="s">
        <v>13</v>
      </c>
      <c r="D24" s="4" t="s">
        <v>12</v>
      </c>
      <c r="E24" s="4" t="s">
        <v>11</v>
      </c>
      <c r="F24" s="4" t="s">
        <v>10</v>
      </c>
      <c r="G24" s="4" t="s">
        <v>9</v>
      </c>
      <c r="H24" s="4" t="s">
        <v>24</v>
      </c>
      <c r="I24" s="4" t="s">
        <v>23</v>
      </c>
      <c r="J24" s="4" t="s">
        <v>25</v>
      </c>
    </row>
    <row r="25" spans="1:10" x14ac:dyDescent="0.25">
      <c r="A25" t="s">
        <v>8</v>
      </c>
      <c r="B25">
        <v>644.11249999999927</v>
      </c>
      <c r="C25">
        <v>1</v>
      </c>
      <c r="D25">
        <v>644.11249999999927</v>
      </c>
      <c r="E25">
        <v>30.201776845482225</v>
      </c>
      <c r="F25">
        <v>4.9889724653669825E-7</v>
      </c>
      <c r="G25">
        <v>3.9667597840087825</v>
      </c>
      <c r="H25">
        <f>B25/B30</f>
        <v>0.14299668933900528</v>
      </c>
      <c r="I25">
        <f>B25/(B25+B28)</f>
        <v>0.28438108798710737</v>
      </c>
      <c r="J25">
        <f>(B25-(C25*D28))/(B30+D28)</f>
        <v>0.13761043254874239</v>
      </c>
    </row>
    <row r="26" spans="1:10" x14ac:dyDescent="0.25">
      <c r="A26" t="s">
        <v>7</v>
      </c>
      <c r="B26">
        <v>2236.6125000000029</v>
      </c>
      <c r="C26">
        <v>1</v>
      </c>
      <c r="D26">
        <v>2236.6125000000029</v>
      </c>
      <c r="E26">
        <v>104.8724743190301</v>
      </c>
      <c r="F26">
        <v>5.8247149150535734E-16</v>
      </c>
      <c r="G26">
        <v>3.9667597840087825</v>
      </c>
      <c r="H26">
        <f>B26/B30</f>
        <v>0.49654087264916724</v>
      </c>
      <c r="I26">
        <f>B26/(B26+B28)</f>
        <v>0.57981445056173575</v>
      </c>
      <c r="J26">
        <f>(B26-(C26*D28))/(B30+D28)</f>
        <v>0.48948857449957756</v>
      </c>
    </row>
    <row r="27" spans="1:10" x14ac:dyDescent="0.25">
      <c r="A27" t="s">
        <v>6</v>
      </c>
      <c r="B27">
        <v>2.8124999999995453</v>
      </c>
      <c r="C27">
        <v>1</v>
      </c>
      <c r="D27">
        <v>2.8124999999995453</v>
      </c>
      <c r="E27">
        <v>0.13187525064007471</v>
      </c>
      <c r="F27">
        <v>0.71750368722894931</v>
      </c>
      <c r="G27">
        <v>3.9667597840087825</v>
      </c>
      <c r="H27">
        <f>B27/B30</f>
        <v>6.2439121856180057E-4</v>
      </c>
      <c r="I27">
        <f>B27/(B27+B28)</f>
        <v>1.7321949604671794E-3</v>
      </c>
      <c r="J27">
        <f>(B27-(C27*D28))/(B30+D28)</f>
        <v>-4.0909504547552858E-3</v>
      </c>
    </row>
    <row r="28" spans="1:10" x14ac:dyDescent="0.25">
      <c r="A28" t="s">
        <v>5</v>
      </c>
      <c r="B28">
        <v>1620.8500000000026</v>
      </c>
      <c r="C28">
        <v>76</v>
      </c>
      <c r="D28">
        <v>21.326973684210561</v>
      </c>
    </row>
    <row r="30" spans="1:10" ht="15.75" thickBot="1" x14ac:dyDescent="0.3">
      <c r="A30" s="3" t="s">
        <v>4</v>
      </c>
      <c r="B30" s="3">
        <v>4504.3875000000044</v>
      </c>
      <c r="C30" s="3">
        <v>79</v>
      </c>
      <c r="D30" s="3"/>
      <c r="E30" s="3"/>
      <c r="F30" s="3"/>
      <c r="G30" s="3"/>
      <c r="H30" s="3"/>
      <c r="I30" s="3"/>
      <c r="J30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6C4E-9C01-42C0-A061-E92092EF52D3}">
  <dimension ref="B2:F42"/>
  <sheetViews>
    <sheetView workbookViewId="0">
      <selection activeCell="B2" sqref="B2"/>
    </sheetView>
  </sheetViews>
  <sheetFormatPr defaultColWidth="11.42578125" defaultRowHeight="15" x14ac:dyDescent="0.25"/>
  <sheetData>
    <row r="2" spans="2:6" x14ac:dyDescent="0.25">
      <c r="B2" s="2"/>
      <c r="C2" s="2" t="s">
        <v>3</v>
      </c>
      <c r="D2" s="2" t="s">
        <v>2</v>
      </c>
      <c r="E2" s="2"/>
      <c r="F2" s="2"/>
    </row>
    <row r="3" spans="2:6" x14ac:dyDescent="0.25">
      <c r="B3" s="1" t="s">
        <v>1</v>
      </c>
      <c r="C3">
        <v>81.000000000000014</v>
      </c>
      <c r="D3" s="1">
        <v>93.000000000000014</v>
      </c>
      <c r="F3" s="1"/>
    </row>
    <row r="4" spans="2:6" x14ac:dyDescent="0.25">
      <c r="C4">
        <v>81</v>
      </c>
      <c r="D4">
        <v>84</v>
      </c>
      <c r="E4" s="1"/>
      <c r="F4" s="1"/>
    </row>
    <row r="5" spans="2:6" x14ac:dyDescent="0.25">
      <c r="C5">
        <v>84</v>
      </c>
      <c r="D5">
        <v>81.999999999999986</v>
      </c>
    </row>
    <row r="6" spans="2:6" x14ac:dyDescent="0.25">
      <c r="C6">
        <v>79.999999999999986</v>
      </c>
      <c r="D6">
        <v>89</v>
      </c>
    </row>
    <row r="7" spans="2:6" x14ac:dyDescent="0.25">
      <c r="C7">
        <v>78.000000000000014</v>
      </c>
      <c r="D7">
        <v>93.000000000000014</v>
      </c>
    </row>
    <row r="8" spans="2:6" x14ac:dyDescent="0.25">
      <c r="C8">
        <v>74.999999999999986</v>
      </c>
      <c r="D8">
        <v>100</v>
      </c>
    </row>
    <row r="9" spans="2:6" x14ac:dyDescent="0.25">
      <c r="C9">
        <v>78.000000000000014</v>
      </c>
      <c r="D9">
        <v>96</v>
      </c>
    </row>
    <row r="10" spans="2:6" x14ac:dyDescent="0.25">
      <c r="C10">
        <v>81</v>
      </c>
      <c r="D10">
        <v>85</v>
      </c>
    </row>
    <row r="11" spans="2:6" x14ac:dyDescent="0.25">
      <c r="C11">
        <v>76.999999999999986</v>
      </c>
      <c r="D11">
        <v>98.000000000000014</v>
      </c>
    </row>
    <row r="12" spans="2:6" x14ac:dyDescent="0.25">
      <c r="C12">
        <v>83.000000000000014</v>
      </c>
      <c r="D12">
        <v>86</v>
      </c>
    </row>
    <row r="13" spans="2:6" x14ac:dyDescent="0.25">
      <c r="C13">
        <v>74.999999999999986</v>
      </c>
      <c r="D13">
        <v>91</v>
      </c>
    </row>
    <row r="14" spans="2:6" x14ac:dyDescent="0.25">
      <c r="C14">
        <v>78.000000000000014</v>
      </c>
      <c r="D14">
        <v>88.000000000000014</v>
      </c>
    </row>
    <row r="15" spans="2:6" x14ac:dyDescent="0.25">
      <c r="C15">
        <v>74.999999999999986</v>
      </c>
      <c r="D15">
        <v>89</v>
      </c>
    </row>
    <row r="16" spans="2:6" x14ac:dyDescent="0.25">
      <c r="C16">
        <v>81</v>
      </c>
      <c r="D16">
        <v>89</v>
      </c>
    </row>
    <row r="17" spans="2:4" x14ac:dyDescent="0.25">
      <c r="C17">
        <v>77.999999999999986</v>
      </c>
      <c r="D17">
        <v>85</v>
      </c>
    </row>
    <row r="18" spans="2:4" x14ac:dyDescent="0.25">
      <c r="C18">
        <v>76</v>
      </c>
      <c r="D18">
        <v>84</v>
      </c>
    </row>
    <row r="19" spans="2:4" x14ac:dyDescent="0.25">
      <c r="C19">
        <v>76</v>
      </c>
      <c r="D19">
        <v>90</v>
      </c>
    </row>
    <row r="20" spans="2:4" x14ac:dyDescent="0.25">
      <c r="C20">
        <v>79.999999999999986</v>
      </c>
      <c r="D20">
        <v>90</v>
      </c>
    </row>
    <row r="21" spans="2:4" x14ac:dyDescent="0.25">
      <c r="C21">
        <v>74.999999999999986</v>
      </c>
      <c r="D21">
        <v>90</v>
      </c>
    </row>
    <row r="22" spans="2:4" x14ac:dyDescent="0.25">
      <c r="C22">
        <v>76</v>
      </c>
      <c r="D22">
        <v>85</v>
      </c>
    </row>
    <row r="23" spans="2:4" x14ac:dyDescent="0.25">
      <c r="B23" s="1" t="s">
        <v>0</v>
      </c>
      <c r="C23" s="1">
        <v>93.000000000000014</v>
      </c>
      <c r="D23" s="1">
        <v>98.000000000000014</v>
      </c>
    </row>
    <row r="24" spans="2:4" x14ac:dyDescent="0.25">
      <c r="C24">
        <v>89</v>
      </c>
      <c r="D24">
        <v>78</v>
      </c>
    </row>
    <row r="25" spans="2:4" x14ac:dyDescent="0.25">
      <c r="C25">
        <v>100</v>
      </c>
      <c r="D25">
        <v>86.999999999999986</v>
      </c>
    </row>
    <row r="26" spans="2:4" x14ac:dyDescent="0.25">
      <c r="C26">
        <v>81</v>
      </c>
      <c r="D26">
        <v>100</v>
      </c>
    </row>
    <row r="27" spans="2:4" x14ac:dyDescent="0.25">
      <c r="C27">
        <v>85</v>
      </c>
      <c r="D27">
        <v>100</v>
      </c>
    </row>
    <row r="28" spans="2:4" x14ac:dyDescent="0.25">
      <c r="C28">
        <v>86.999999999999986</v>
      </c>
      <c r="D28">
        <v>91</v>
      </c>
    </row>
    <row r="29" spans="2:4" x14ac:dyDescent="0.25">
      <c r="C29">
        <v>86.999999999999986</v>
      </c>
      <c r="D29">
        <v>100</v>
      </c>
    </row>
    <row r="30" spans="2:4" x14ac:dyDescent="0.25">
      <c r="C30">
        <v>84</v>
      </c>
      <c r="D30">
        <v>91</v>
      </c>
    </row>
    <row r="31" spans="2:4" x14ac:dyDescent="0.25">
      <c r="C31">
        <v>79.999999999999986</v>
      </c>
      <c r="D31">
        <v>95</v>
      </c>
    </row>
    <row r="32" spans="2:4" x14ac:dyDescent="0.25">
      <c r="C32">
        <v>85</v>
      </c>
      <c r="D32">
        <v>100</v>
      </c>
    </row>
    <row r="33" spans="3:4" x14ac:dyDescent="0.25">
      <c r="C33">
        <v>84</v>
      </c>
      <c r="D33">
        <v>96</v>
      </c>
    </row>
    <row r="34" spans="3:4" x14ac:dyDescent="0.25">
      <c r="C34">
        <v>79.999999999999986</v>
      </c>
      <c r="D34">
        <v>95</v>
      </c>
    </row>
    <row r="35" spans="3:4" x14ac:dyDescent="0.25">
      <c r="C35">
        <v>81</v>
      </c>
      <c r="D35">
        <v>96</v>
      </c>
    </row>
    <row r="36" spans="3:4" x14ac:dyDescent="0.25">
      <c r="C36">
        <v>81.999999999999986</v>
      </c>
      <c r="D36">
        <v>91</v>
      </c>
    </row>
    <row r="37" spans="3:4" x14ac:dyDescent="0.25">
      <c r="C37">
        <v>81</v>
      </c>
      <c r="D37">
        <v>93.000000000000014</v>
      </c>
    </row>
    <row r="38" spans="3:4" x14ac:dyDescent="0.25">
      <c r="C38">
        <v>79.999999999999986</v>
      </c>
      <c r="D38">
        <v>94</v>
      </c>
    </row>
    <row r="39" spans="3:4" x14ac:dyDescent="0.25">
      <c r="C39">
        <v>85</v>
      </c>
      <c r="D39">
        <v>96</v>
      </c>
    </row>
    <row r="40" spans="3:4" x14ac:dyDescent="0.25">
      <c r="C40">
        <v>85</v>
      </c>
      <c r="D40">
        <v>98.000000000000014</v>
      </c>
    </row>
    <row r="41" spans="3:4" x14ac:dyDescent="0.25">
      <c r="C41">
        <v>79.999999999999986</v>
      </c>
      <c r="D41">
        <v>98.000000000000014</v>
      </c>
    </row>
    <row r="42" spans="3:4" x14ac:dyDescent="0.25">
      <c r="C42">
        <v>79.999999999999986</v>
      </c>
      <c r="D4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ANOVA Result (Verb. Resp.)</vt:lpstr>
      <vt:lpstr>ANOVA Table (Verb. Resp.)</vt:lpstr>
      <vt:lpstr>ANOVA Result (Cost)</vt:lpstr>
      <vt:lpstr>ANOVA Table (Cost)</vt:lpstr>
      <vt:lpstr>ANOVA Result (Verb. Ppt.)</vt:lpstr>
      <vt:lpstr>ANOVA Table (Verb. Ppt.)</vt:lpstr>
      <vt:lpstr>ANOVA Result (Eval.1 Acc.)</vt:lpstr>
      <vt:lpstr>ANOVA Table (Eval.1 Acc.)</vt:lpstr>
      <vt:lpstr>ANOVA Result (Eval.2 Acc.)</vt:lpstr>
      <vt:lpstr>ANOVA Table (Eval.2 Acc.)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Koorosh Nobakhtfar</dc:creator>
  <cp:lastModifiedBy>Koorosh Nobakhtfar</cp:lastModifiedBy>
  <dcterms:created xsi:type="dcterms:W3CDTF">2025-11-17T16:50:59Z</dcterms:created>
  <dcterms:modified xsi:type="dcterms:W3CDTF">2025-11-23T10:28:57Z</dcterms:modified>
</cp:coreProperties>
</file>